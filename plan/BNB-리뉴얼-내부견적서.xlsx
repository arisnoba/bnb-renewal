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단가설정" sheetId="1" state="visible" r:id="rId1"/>
    <sheet name="견적입력" sheetId="2" state="visible" r:id="rId2"/>
    <sheet name="요약" sheetId="3" state="visible" r:id="rId3"/>
  </sheets>
  <definedNames>
    <definedName name="_xlnm._FilterDatabase" localSheetId="1" hidden="1">'견적입력'!$A$3:$P$52</definedName>
  </definedNames>
  <calcPr calcId="124519" calcMode="auto" fullCalcOnLoad="1" forceFullCalc="1"/>
</workbook>
</file>

<file path=xl/styles.xml><?xml version="1.0" encoding="utf-8"?>
<styleSheet xmlns="http://schemas.openxmlformats.org/spreadsheetml/2006/main">
  <numFmts count="2">
    <numFmt numFmtId="164" formatCode="#,##0&quot;원&quot;"/>
    <numFmt numFmtId="165" formatCode="0.0&quot;일&quot;"/>
  </numFmts>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DDEBF7"/>
      </patternFill>
    </fill>
    <fill>
      <patternFill patternType="solid">
        <fgColor rgb="00FFF2CC"/>
      </patternFill>
    </fill>
    <fill>
      <patternFill patternType="solid">
        <fgColor rgb="001F4E78"/>
      </patternFill>
    </fill>
    <fill>
      <patternFill patternType="solid">
        <fgColor rgb="00E2F0D9"/>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pivotButton="0" quotePrefix="0" xfId="0"/>
    <xf numFmtId="9" fontId="0" fillId="3" borderId="0" pivotButton="0" quotePrefix="0" xfId="0"/>
    <xf numFmtId="0" fontId="2" fillId="4" borderId="1" applyAlignment="1" pivotButton="0" quotePrefix="0" xfId="0">
      <alignment horizontal="center" vertical="center"/>
    </xf>
    <xf numFmtId="0" fontId="0" fillId="0" borderId="1" pivotButton="0" quotePrefix="0" xfId="0"/>
    <xf numFmtId="164" fontId="0" fillId="3"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left" vertical="center"/>
    </xf>
    <xf numFmtId="165" fontId="0" fillId="0" borderId="1" applyAlignment="1" pivotButton="0" quotePrefix="0" xfId="0">
      <alignment horizontal="center" vertical="center"/>
    </xf>
    <xf numFmtId="164" fontId="0" fillId="3" borderId="1" applyAlignment="1" pivotButton="0" quotePrefix="0" xfId="0">
      <alignment horizontal="center" vertical="center"/>
    </xf>
    <xf numFmtId="164" fontId="0" fillId="5" borderId="1" applyAlignment="1" pivotButton="0" quotePrefix="0" xfId="0">
      <alignment horizontal="center" vertical="center"/>
    </xf>
    <xf numFmtId="164" fontId="0" fillId="0" borderId="1" applyAlignment="1" pivotButton="0" quotePrefix="0" xfId="0">
      <alignment horizontal="center" vertical="center"/>
    </xf>
    <xf numFmtId="164" fontId="0" fillId="0" borderId="1" pivotButton="0" quotePrefix="0" xfId="0"/>
    <xf numFmtId="0" fontId="3" fillId="6" borderId="1" pivotButton="0" quotePrefix="0" xfId="0"/>
    <xf numFmtId="164" fontId="3" fillId="6" borderId="1" pivotButton="0" quotePrefix="0" xfId="0"/>
  </cellXfs>
  <cellStyles count="1">
    <cellStyle name="Normal" xfId="0" builtinId="0" hidden="0"/>
  </cellStyles>
  <dxfs count="1">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s>
  <sheetData>
    <row r="1">
      <c r="A1" s="1" t="inlineStr">
        <is>
          <t>BNB 리뉴얼 내부 견적서 입력값</t>
        </is>
      </c>
    </row>
    <row r="3">
      <c r="A3" t="inlineStr">
        <is>
          <t>입력 안내</t>
        </is>
      </c>
    </row>
    <row r="4">
      <c r="A4" t="inlineStr">
        <is>
          <t>1. 노란색 셀만 수정하면 됩니다.</t>
        </is>
      </c>
    </row>
    <row r="5">
      <c r="A5" t="inlineStr">
        <is>
          <t>2. 직군 단가를 수정하면 견적입력 시트의 연동 항목 금액이 비례 반영됩니다.</t>
        </is>
      </c>
    </row>
    <row r="6">
      <c r="A6" t="inlineStr">
        <is>
          <t>3. 견적입력 시트에서 포함(Y/N), 기준금액, 수동금액을 바꾸면 요약이 자동 갱신됩니다.</t>
        </is>
      </c>
    </row>
    <row r="8">
      <c r="A8" t="inlineStr">
        <is>
          <t>VAT</t>
        </is>
      </c>
      <c r="B8" s="2" t="n">
        <v>0.1</v>
      </c>
    </row>
    <row r="10">
      <c r="A10" s="3" t="inlineStr">
        <is>
          <t>직군</t>
        </is>
      </c>
      <c r="B10" s="3" t="inlineStr">
        <is>
          <t>LOW</t>
        </is>
      </c>
      <c r="C10" s="3" t="inlineStr">
        <is>
          <t>MID</t>
        </is>
      </c>
      <c r="D10" s="3" t="inlineStr">
        <is>
          <t>HIGH</t>
        </is>
      </c>
    </row>
    <row r="11">
      <c r="A11" s="4" t="inlineStr">
        <is>
          <t>UX 디자이너</t>
        </is>
      </c>
      <c r="B11" s="5" t="n">
        <v>350000</v>
      </c>
      <c r="C11" s="5" t="n">
        <v>450000</v>
      </c>
      <c r="D11" s="5" t="n">
        <v>600000</v>
      </c>
    </row>
    <row r="12">
      <c r="A12" s="4" t="inlineStr">
        <is>
          <t>UI 디자이너</t>
        </is>
      </c>
      <c r="B12" s="5" t="n">
        <v>300000</v>
      </c>
      <c r="C12" s="5" t="n">
        <v>400000</v>
      </c>
      <c r="D12" s="5" t="n">
        <v>550000</v>
      </c>
    </row>
    <row r="13">
      <c r="A13" s="4" t="inlineStr">
        <is>
          <t>프론트엔드 개발</t>
        </is>
      </c>
      <c r="B13" s="5" t="n">
        <v>400000</v>
      </c>
      <c r="C13" s="5" t="n">
        <v>500000</v>
      </c>
      <c r="D13" s="5" t="n">
        <v>650000</v>
      </c>
    </row>
    <row r="14">
      <c r="A14" s="4" t="inlineStr">
        <is>
          <t>백엔드/CMS 개발</t>
        </is>
      </c>
      <c r="B14" s="5" t="n">
        <v>400000</v>
      </c>
      <c r="C14" s="5" t="n">
        <v>500000</v>
      </c>
      <c r="D14" s="5" t="n">
        <v>650000</v>
      </c>
    </row>
    <row r="15">
      <c r="A15" s="4" t="inlineStr">
        <is>
          <t>PM</t>
        </is>
      </c>
      <c r="B15" s="5" t="n">
        <v>300000</v>
      </c>
      <c r="C15" s="5" t="n">
        <v>400000</v>
      </c>
      <c r="D15" s="5" t="n">
        <v>500000</v>
      </c>
    </row>
    <row r="16">
      <c r="A16" s="4" t="inlineStr">
        <is>
          <t>QA</t>
        </is>
      </c>
      <c r="B16" s="5" t="n">
        <v>250000</v>
      </c>
      <c r="C16" s="5" t="n">
        <v>300000</v>
      </c>
      <c r="D16" s="5" t="n">
        <v>400000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2"/>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16" customWidth="1" min="3" max="3"/>
    <col width="56" customWidth="1" min="4" max="4"/>
    <col width="18" customWidth="1" min="5" max="5"/>
    <col width="1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8" customWidth="1" min="16" max="16"/>
    <col hidden="1" width="13" customWidth="1" min="17" max="17"/>
    <col hidden="1" width="13" customWidth="1" min="18" max="18"/>
    <col hidden="1" width="13" customWidth="1" min="19" max="19"/>
  </cols>
  <sheetData>
    <row r="1">
      <c r="A1" s="1" t="inlineStr">
        <is>
          <t>BNB 리뉴얼 내부 견적 입력</t>
        </is>
      </c>
    </row>
    <row r="2" ht="28" customHeight="1">
      <c r="A2" t="inlineStr">
        <is>
          <t>노란색 셀은 입력용, 초록색 셀은 자동 계산입니다. 포함 열에서 Y를 선택한 항목만 합계에 반영됩니다.</t>
        </is>
      </c>
    </row>
    <row r="3">
      <c r="A3" s="3" t="inlineStr">
        <is>
          <t>포함</t>
        </is>
      </c>
      <c r="B3" s="3" t="inlineStr">
        <is>
          <t>대분류</t>
        </is>
      </c>
      <c r="C3" s="3" t="inlineStr">
        <is>
          <t>세부구분</t>
        </is>
      </c>
      <c r="D3" s="3" t="inlineStr">
        <is>
          <t>항목</t>
        </is>
      </c>
      <c r="E3" s="3" t="inlineStr">
        <is>
          <t>연동직군</t>
        </is>
      </c>
      <c r="F3" s="3" t="inlineStr">
        <is>
          <t>공수(일)</t>
        </is>
      </c>
      <c r="G3" s="3" t="inlineStr">
        <is>
          <t>LOW 기준금액</t>
        </is>
      </c>
      <c r="H3" s="3" t="inlineStr">
        <is>
          <t>MID 기준금액</t>
        </is>
      </c>
      <c r="I3" s="3" t="inlineStr">
        <is>
          <t>HIGH 기준금액</t>
        </is>
      </c>
      <c r="J3" s="3" t="inlineStr">
        <is>
          <t>LOW 수동금액</t>
        </is>
      </c>
      <c r="K3" s="3" t="inlineStr">
        <is>
          <t>MID 수동금액</t>
        </is>
      </c>
      <c r="L3" s="3" t="inlineStr">
        <is>
          <t>HIGH 수동금액</t>
        </is>
      </c>
      <c r="M3" s="3" t="inlineStr">
        <is>
          <t>LOW 반영금액</t>
        </is>
      </c>
      <c r="N3" s="3" t="inlineStr">
        <is>
          <t>MID 반영금액</t>
        </is>
      </c>
      <c r="O3" s="3" t="inlineStr">
        <is>
          <t>HIGH 반영금액</t>
        </is>
      </c>
      <c r="P3" s="3" t="inlineStr">
        <is>
          <t>비고</t>
        </is>
      </c>
      <c r="Q3" s="3" t="inlineStr">
        <is>
          <t>기준 LOW단가</t>
        </is>
      </c>
      <c r="R3" s="3" t="inlineStr">
        <is>
          <t>기준 MID단가</t>
        </is>
      </c>
      <c r="S3" s="3" t="inlineStr">
        <is>
          <t>기준 HIGH단가</t>
        </is>
      </c>
    </row>
    <row r="4">
      <c r="A4" s="6" t="inlineStr">
        <is>
          <t>Y</t>
        </is>
      </c>
      <c r="B4" s="7" t="inlineStr">
        <is>
          <t>a) 마스터 템플릿</t>
        </is>
      </c>
      <c r="C4" s="7" t="inlineStr">
        <is>
          <t>디자인</t>
        </is>
      </c>
      <c r="D4" s="7" t="inlineStr">
        <is>
          <t>디자인 시스템 (색상/타이포/간격/그리드)</t>
        </is>
      </c>
      <c r="E4" s="7" t="inlineStr">
        <is>
          <t>UX 디자이너</t>
        </is>
      </c>
      <c r="F4" s="8" t="n">
        <v>5</v>
      </c>
      <c r="G4" s="9" t="n">
        <v>1500000</v>
      </c>
      <c r="H4" s="9" t="n">
        <v>2000000</v>
      </c>
      <c r="I4" s="9" t="n">
        <v>3000000</v>
      </c>
      <c r="J4" s="9" t="n"/>
      <c r="K4" s="9" t="n"/>
      <c r="L4" s="9" t="n"/>
      <c r="M4" s="10">
        <f>IF($A4&lt;&gt;"Y",0,IF($J4&lt;&gt;"",$J4,IF($Q4="",$G4,ROUND($G4*(IF($E4="","",IFERROR(INDEX(단가설정!$B$11:$B$16,MATCH($E4,단가설정!$A$11:$A$16,0)),""))/$Q4),0))))</f>
        <v/>
      </c>
      <c r="N4" s="10">
        <f>IF($A4&lt;&gt;"Y",0,IF($K4&lt;&gt;"",$K4,IF($R4="",$H4,ROUND($H4*(IF($E4="","",IFERROR(INDEX(단가설정!$C$11:$C$16,MATCH($E4,단가설정!$A$11:$A$16,0)),""))/$R4),0))))</f>
        <v/>
      </c>
      <c r="O4" s="10">
        <f>IF($A4&lt;&gt;"Y",0,IF($L4&lt;&gt;"",$L4,IF($S4="",$I4,ROUND($I4*(IF($E4="","",IFERROR(INDEX(단가설정!$D$11:$D$16,MATCH($E4,단가설정!$A$11:$A$16,0)),""))/$S4),0))))</f>
        <v/>
      </c>
      <c r="P4" s="7" t="inlineStr"/>
      <c r="Q4" s="11">
        <f>IF($E4="","",IFERROR(INDEX(단가설정!$B$11:$B$16,MATCH($E4,단가설정!$A$11:$A$16,0)),""))</f>
        <v/>
      </c>
      <c r="R4" s="11">
        <f>IF($E4="","",IFERROR(INDEX(단가설정!$C$11:$C$16,MATCH($E4,단가설정!$A$11:$A$16,0)),""))</f>
        <v/>
      </c>
      <c r="S4" s="11">
        <f>IF($E4="","",IFERROR(INDEX(단가설정!$D$11:$D$16,MATCH($E4,단가설정!$A$11:$A$16,0)),""))</f>
        <v/>
      </c>
    </row>
    <row r="5">
      <c r="A5" s="6" t="inlineStr">
        <is>
          <t>Y</t>
        </is>
      </c>
      <c r="B5" s="7" t="inlineStr">
        <is>
          <t>a) 마스터 템플릿</t>
        </is>
      </c>
      <c r="C5" s="7" t="inlineStr">
        <is>
          <t>디자인</t>
        </is>
      </c>
      <c r="D5" s="7" t="inlineStr">
        <is>
          <t>메인페이지 디자인 (PC+Mobile)</t>
        </is>
      </c>
      <c r="E5" s="7" t="inlineStr">
        <is>
          <t>UX 디자이너</t>
        </is>
      </c>
      <c r="F5" s="8" t="n">
        <v>5</v>
      </c>
      <c r="G5" s="9" t="n">
        <v>1500000</v>
      </c>
      <c r="H5" s="9" t="n">
        <v>2250000</v>
      </c>
      <c r="I5" s="9" t="n">
        <v>3000000</v>
      </c>
      <c r="J5" s="9" t="n"/>
      <c r="K5" s="9" t="n"/>
      <c r="L5" s="9" t="n"/>
      <c r="M5" s="10">
        <f>IF($A5&lt;&gt;"Y",0,IF($J5&lt;&gt;"",$J5,IF($Q5="",$G5,ROUND($G5*(IF($E5="","",IFERROR(INDEX(단가설정!$B$11:$B$16,MATCH($E5,단가설정!$A$11:$A$16,0)),""))/$Q5),0))))</f>
        <v/>
      </c>
      <c r="N5" s="10">
        <f>IF($A5&lt;&gt;"Y",0,IF($K5&lt;&gt;"",$K5,IF($R5="",$H5,ROUND($H5*(IF($E5="","",IFERROR(INDEX(단가설정!$C$11:$C$16,MATCH($E5,단가설정!$A$11:$A$16,0)),""))/$R5),0))))</f>
        <v/>
      </c>
      <c r="O5" s="10">
        <f>IF($A5&lt;&gt;"Y",0,IF($L5&lt;&gt;"",$L5,IF($S5="",$I5,ROUND($I5*(IF($E5="","",IFERROR(INDEX(단가설정!$D$11:$D$16,MATCH($E5,단가설정!$A$11:$A$16,0)),""))/$S5),0))))</f>
        <v/>
      </c>
      <c r="P5" s="7" t="inlineStr"/>
      <c r="Q5" s="11">
        <f>IF($E5="","",IFERROR(INDEX(단가설정!$B$11:$B$16,MATCH($E5,단가설정!$A$11:$A$16,0)),""))</f>
        <v/>
      </c>
      <c r="R5" s="11">
        <f>IF($E5="","",IFERROR(INDEX(단가설정!$C$11:$C$16,MATCH($E5,단가설정!$A$11:$A$16,0)),""))</f>
        <v/>
      </c>
      <c r="S5" s="11">
        <f>IF($E5="","",IFERROR(INDEX(단가설정!$D$11:$D$16,MATCH($E5,단가설정!$A$11:$A$16,0)),""))</f>
        <v/>
      </c>
    </row>
    <row r="6">
      <c r="A6" s="6" t="inlineStr">
        <is>
          <t>Y</t>
        </is>
      </c>
      <c r="B6" s="7" t="inlineStr">
        <is>
          <t>a) 마스터 템플릿</t>
        </is>
      </c>
      <c r="C6" s="7" t="inlineStr">
        <is>
          <t>디자인</t>
        </is>
      </c>
      <c r="D6" s="7" t="inlineStr">
        <is>
          <t>공통 16종 서브페이지 (static 8, gallery 4, board 2, form 2)</t>
        </is>
      </c>
      <c r="E6" s="7" t="inlineStr">
        <is>
          <t>UI 디자이너</t>
        </is>
      </c>
      <c r="F6" s="8" t="n">
        <v>16</v>
      </c>
      <c r="G6" s="9" t="n">
        <v>4800000</v>
      </c>
      <c r="H6" s="9" t="n">
        <v>6400000</v>
      </c>
      <c r="I6" s="9" t="n">
        <v>8800000</v>
      </c>
      <c r="J6" s="9" t="n"/>
      <c r="K6" s="9" t="n"/>
      <c r="L6" s="9" t="n"/>
      <c r="M6" s="10">
        <f>IF($A6&lt;&gt;"Y",0,IF($J6&lt;&gt;"",$J6,IF($Q6="",$G6,ROUND($G6*(IF($E6="","",IFERROR(INDEX(단가설정!$B$11:$B$16,MATCH($E6,단가설정!$A$11:$A$16,0)),""))/$Q6),0))))</f>
        <v/>
      </c>
      <c r="N6" s="10">
        <f>IF($A6&lt;&gt;"Y",0,IF($K6&lt;&gt;"",$K6,IF($R6="",$H6,ROUND($H6*(IF($E6="","",IFERROR(INDEX(단가설정!$C$11:$C$16,MATCH($E6,단가설정!$A$11:$A$16,0)),""))/$R6),0))))</f>
        <v/>
      </c>
      <c r="O6" s="10">
        <f>IF($A6&lt;&gt;"Y",0,IF($L6&lt;&gt;"",$L6,IF($S6="",$I6,ROUND($I6*(IF($E6="","",IFERROR(INDEX(단가설정!$D$11:$D$16,MATCH($E6,단가설정!$A$11:$A$16,0)),""))/$S6),0))))</f>
        <v/>
      </c>
      <c r="P6" s="7" t="inlineStr"/>
      <c r="Q6" s="11">
        <f>IF($E6="","",IFERROR(INDEX(단가설정!$B$11:$B$16,MATCH($E6,단가설정!$A$11:$A$16,0)),""))</f>
        <v/>
      </c>
      <c r="R6" s="11">
        <f>IF($E6="","",IFERROR(INDEX(단가설정!$C$11:$C$16,MATCH($E6,단가설정!$A$11:$A$16,0)),""))</f>
        <v/>
      </c>
      <c r="S6" s="11">
        <f>IF($E6="","",IFERROR(INDEX(단가설정!$D$11:$D$16,MATCH($E6,단가설정!$A$11:$A$16,0)),""))</f>
        <v/>
      </c>
    </row>
    <row r="7">
      <c r="A7" s="6" t="inlineStr">
        <is>
          <t>Y</t>
        </is>
      </c>
      <c r="B7" s="7" t="inlineStr">
        <is>
          <t>a) 마스터 템플릿</t>
        </is>
      </c>
      <c r="C7" s="7" t="inlineStr">
        <is>
          <t>디자인</t>
        </is>
      </c>
      <c r="D7" s="7" t="inlineStr">
        <is>
          <t>공통 컴포넌트 5종 (Gallery, Board, Form, Calendar, Static)</t>
        </is>
      </c>
      <c r="E7" s="7" t="inlineStr">
        <is>
          <t>UI 디자이너</t>
        </is>
      </c>
      <c r="F7" s="8" t="n">
        <v>5</v>
      </c>
      <c r="G7" s="9" t="n">
        <v>1500000</v>
      </c>
      <c r="H7" s="9" t="n">
        <v>2000000</v>
      </c>
      <c r="I7" s="9" t="n">
        <v>2750000</v>
      </c>
      <c r="J7" s="9" t="n"/>
      <c r="K7" s="9" t="n"/>
      <c r="L7" s="9" t="n"/>
      <c r="M7" s="10">
        <f>IF($A7&lt;&gt;"Y",0,IF($J7&lt;&gt;"",$J7,IF($Q7="",$G7,ROUND($G7*(IF($E7="","",IFERROR(INDEX(단가설정!$B$11:$B$16,MATCH($E7,단가설정!$A$11:$A$16,0)),""))/$Q7),0))))</f>
        <v/>
      </c>
      <c r="N7" s="10">
        <f>IF($A7&lt;&gt;"Y",0,IF($K7&lt;&gt;"",$K7,IF($R7="",$H7,ROUND($H7*(IF($E7="","",IFERROR(INDEX(단가설정!$C$11:$C$16,MATCH($E7,단가설정!$A$11:$A$16,0)),""))/$R7),0))))</f>
        <v/>
      </c>
      <c r="O7" s="10">
        <f>IF($A7&lt;&gt;"Y",0,IF($L7&lt;&gt;"",$L7,IF($S7="",$I7,ROUND($I7*(IF($E7="","",IFERROR(INDEX(단가설정!$D$11:$D$16,MATCH($E7,단가설정!$A$11:$A$16,0)),""))/$S7),0))))</f>
        <v/>
      </c>
      <c r="P7" s="7" t="inlineStr"/>
      <c r="Q7" s="11">
        <f>IF($E7="","",IFERROR(INDEX(단가설정!$B$11:$B$16,MATCH($E7,단가설정!$A$11:$A$16,0)),""))</f>
        <v/>
      </c>
      <c r="R7" s="11">
        <f>IF($E7="","",IFERROR(INDEX(단가설정!$C$11:$C$16,MATCH($E7,단가설정!$A$11:$A$16,0)),""))</f>
        <v/>
      </c>
      <c r="S7" s="11">
        <f>IF($E7="","",IFERROR(INDEX(단가설정!$D$11:$D$16,MATCH($E7,단가설정!$A$11:$A$16,0)),""))</f>
        <v/>
      </c>
    </row>
    <row r="8">
      <c r="A8" s="6" t="inlineStr">
        <is>
          <t>Y</t>
        </is>
      </c>
      <c r="B8" s="7" t="inlineStr">
        <is>
          <t>a) 마스터 템플릿</t>
        </is>
      </c>
      <c r="C8" s="7" t="inlineStr">
        <is>
          <t>디자인</t>
        </is>
      </c>
      <c r="D8" s="7" t="inlineStr">
        <is>
          <t>반응형 Mobile 보완 작업</t>
        </is>
      </c>
      <c r="E8" s="7" t="inlineStr">
        <is>
          <t>UI 디자이너</t>
        </is>
      </c>
      <c r="F8" s="8" t="n">
        <v>5</v>
      </c>
      <c r="G8" s="9" t="n">
        <v>1500000</v>
      </c>
      <c r="H8" s="9" t="n">
        <v>2000000</v>
      </c>
      <c r="I8" s="9" t="n">
        <v>2750000</v>
      </c>
      <c r="J8" s="9" t="n"/>
      <c r="K8" s="9" t="n"/>
      <c r="L8" s="9" t="n"/>
      <c r="M8" s="10">
        <f>IF($A8&lt;&gt;"Y",0,IF($J8&lt;&gt;"",$J8,IF($Q8="",$G8,ROUND($G8*(IF($E8="","",IFERROR(INDEX(단가설정!$B$11:$B$16,MATCH($E8,단가설정!$A$11:$A$16,0)),""))/$Q8),0))))</f>
        <v/>
      </c>
      <c r="N8" s="10">
        <f>IF($A8&lt;&gt;"Y",0,IF($K8&lt;&gt;"",$K8,IF($R8="",$H8,ROUND($H8*(IF($E8="","",IFERROR(INDEX(단가설정!$C$11:$C$16,MATCH($E8,단가설정!$A$11:$A$16,0)),""))/$R8),0))))</f>
        <v/>
      </c>
      <c r="O8" s="10">
        <f>IF($A8&lt;&gt;"Y",0,IF($L8&lt;&gt;"",$L8,IF($S8="",$I8,ROUND($I8*(IF($E8="","",IFERROR(INDEX(단가설정!$D$11:$D$16,MATCH($E8,단가설정!$A$11:$A$16,0)),""))/$S8),0))))</f>
        <v/>
      </c>
      <c r="P8" s="7" t="inlineStr"/>
      <c r="Q8" s="11">
        <f>IF($E8="","",IFERROR(INDEX(단가설정!$B$11:$B$16,MATCH($E8,단가설정!$A$11:$A$16,0)),""))</f>
        <v/>
      </c>
      <c r="R8" s="11">
        <f>IF($E8="","",IFERROR(INDEX(단가설정!$C$11:$C$16,MATCH($E8,단가설정!$A$11:$A$16,0)),""))</f>
        <v/>
      </c>
      <c r="S8" s="11">
        <f>IF($E8="","",IFERROR(INDEX(단가설정!$D$11:$D$16,MATCH($E8,단가설정!$A$11:$A$16,0)),""))</f>
        <v/>
      </c>
    </row>
    <row r="9">
      <c r="A9" s="6" t="inlineStr">
        <is>
          <t>Y</t>
        </is>
      </c>
      <c r="B9" s="7" t="inlineStr">
        <is>
          <t>a) 마스터 템플릿</t>
        </is>
      </c>
      <c r="C9" s="7" t="inlineStr">
        <is>
          <t>디자인</t>
        </is>
      </c>
      <c r="D9" s="7" t="inlineStr">
        <is>
          <t>프로토타이핑/인터랙션 정의</t>
        </is>
      </c>
      <c r="E9" s="7" t="inlineStr">
        <is>
          <t>UX 디자이너</t>
        </is>
      </c>
      <c r="F9" s="8" t="n">
        <v>3</v>
      </c>
      <c r="G9" s="9" t="n">
        <v>900000</v>
      </c>
      <c r="H9" s="9" t="n">
        <v>1350000</v>
      </c>
      <c r="I9" s="9" t="n">
        <v>1800000</v>
      </c>
      <c r="J9" s="9" t="n"/>
      <c r="K9" s="9" t="n"/>
      <c r="L9" s="9" t="n"/>
      <c r="M9" s="10">
        <f>IF($A9&lt;&gt;"Y",0,IF($J9&lt;&gt;"",$J9,IF($Q9="",$G9,ROUND($G9*(IF($E9="","",IFERROR(INDEX(단가설정!$B$11:$B$16,MATCH($E9,단가설정!$A$11:$A$16,0)),""))/$Q9),0))))</f>
        <v/>
      </c>
      <c r="N9" s="10">
        <f>IF($A9&lt;&gt;"Y",0,IF($K9&lt;&gt;"",$K9,IF($R9="",$H9,ROUND($H9*(IF($E9="","",IFERROR(INDEX(단가설정!$C$11:$C$16,MATCH($E9,단가설정!$A$11:$A$16,0)),""))/$R9),0))))</f>
        <v/>
      </c>
      <c r="O9" s="10">
        <f>IF($A9&lt;&gt;"Y",0,IF($L9&lt;&gt;"",$L9,IF($S9="",$I9,ROUND($I9*(IF($E9="","",IFERROR(INDEX(단가설정!$D$11:$D$16,MATCH($E9,단가설정!$A$11:$A$16,0)),""))/$S9),0))))</f>
        <v/>
      </c>
      <c r="P9" s="7" t="inlineStr"/>
      <c r="Q9" s="11">
        <f>IF($E9="","",IFERROR(INDEX(단가설정!$B$11:$B$16,MATCH($E9,단가설정!$A$11:$A$16,0)),""))</f>
        <v/>
      </c>
      <c r="R9" s="11">
        <f>IF($E9="","",IFERROR(INDEX(단가설정!$C$11:$C$16,MATCH($E9,단가설정!$A$11:$A$16,0)),""))</f>
        <v/>
      </c>
      <c r="S9" s="11">
        <f>IF($E9="","",IFERROR(INDEX(단가설정!$D$11:$D$16,MATCH($E9,단가설정!$A$11:$A$16,0)),""))</f>
        <v/>
      </c>
    </row>
    <row r="10">
      <c r="A10" s="6" t="inlineStr">
        <is>
          <t>Y</t>
        </is>
      </c>
      <c r="B10" s="7" t="inlineStr">
        <is>
          <t>a) 마스터 템플릿</t>
        </is>
      </c>
      <c r="C10" s="7" t="inlineStr">
        <is>
          <t>프론트엔드 개발</t>
        </is>
      </c>
      <c r="D10" s="7" t="inlineStr">
        <is>
          <t>Next.js + Monorepo 프로젝트 셋업</t>
        </is>
      </c>
      <c r="E10" s="7" t="inlineStr">
        <is>
          <t>프론트엔드 개발</t>
        </is>
      </c>
      <c r="F10" s="8" t="n">
        <v>3</v>
      </c>
      <c r="G10" s="9" t="n">
        <v>1200000</v>
      </c>
      <c r="H10" s="9" t="n">
        <v>1500000</v>
      </c>
      <c r="I10" s="9" t="n">
        <v>1950000</v>
      </c>
      <c r="J10" s="9" t="n"/>
      <c r="K10" s="9" t="n"/>
      <c r="L10" s="9" t="n"/>
      <c r="M10" s="10">
        <f>IF($A10&lt;&gt;"Y",0,IF($J10&lt;&gt;"",$J10,IF($Q10="",$G10,ROUND($G10*(IF($E10="","",IFERROR(INDEX(단가설정!$B$11:$B$16,MATCH($E10,단가설정!$A$11:$A$16,0)),""))/$Q10),0))))</f>
        <v/>
      </c>
      <c r="N10" s="10">
        <f>IF($A10&lt;&gt;"Y",0,IF($K10&lt;&gt;"",$K10,IF($R10="",$H10,ROUND($H10*(IF($E10="","",IFERROR(INDEX(단가설정!$C$11:$C$16,MATCH($E10,단가설정!$A$11:$A$16,0)),""))/$R10),0))))</f>
        <v/>
      </c>
      <c r="O10" s="10">
        <f>IF($A10&lt;&gt;"Y",0,IF($L10&lt;&gt;"",$L10,IF($S10="",$I10,ROUND($I10*(IF($E10="","",IFERROR(INDEX(단가설정!$D$11:$D$16,MATCH($E10,단가설정!$A$11:$A$16,0)),""))/$S10),0))))</f>
        <v/>
      </c>
      <c r="P10" s="7" t="inlineStr"/>
      <c r="Q10" s="11">
        <f>IF($E10="","",IFERROR(INDEX(단가설정!$B$11:$B$16,MATCH($E10,단가설정!$A$11:$A$16,0)),""))</f>
        <v/>
      </c>
      <c r="R10" s="11">
        <f>IF($E10="","",IFERROR(INDEX(단가설정!$C$11:$C$16,MATCH($E10,단가설정!$A$11:$A$16,0)),""))</f>
        <v/>
      </c>
      <c r="S10" s="11">
        <f>IF($E10="","",IFERROR(INDEX(단가설정!$D$11:$D$16,MATCH($E10,단가설정!$A$11:$A$16,0)),""))</f>
        <v/>
      </c>
    </row>
    <row r="11">
      <c r="A11" s="6" t="inlineStr">
        <is>
          <t>Y</t>
        </is>
      </c>
      <c r="B11" s="7" t="inlineStr">
        <is>
          <t>a) 마스터 템플릿</t>
        </is>
      </c>
      <c r="C11" s="7" t="inlineStr">
        <is>
          <t>프론트엔드 개발</t>
        </is>
      </c>
      <c r="D11" s="7" t="inlineStr">
        <is>
          <t>공통 레이아웃 (Header/GNB/Footer/LNB)</t>
        </is>
      </c>
      <c r="E11" s="7" t="inlineStr">
        <is>
          <t>프론트엔드 개발</t>
        </is>
      </c>
      <c r="F11" s="8" t="n">
        <v>5</v>
      </c>
      <c r="G11" s="9" t="n">
        <v>2000000</v>
      </c>
      <c r="H11" s="9" t="n">
        <v>2500000</v>
      </c>
      <c r="I11" s="9" t="n">
        <v>3250000</v>
      </c>
      <c r="J11" s="9" t="n"/>
      <c r="K11" s="9" t="n"/>
      <c r="L11" s="9" t="n"/>
      <c r="M11" s="10">
        <f>IF($A11&lt;&gt;"Y",0,IF($J11&lt;&gt;"",$J11,IF($Q11="",$G11,ROUND($G11*(IF($E11="","",IFERROR(INDEX(단가설정!$B$11:$B$16,MATCH($E11,단가설정!$A$11:$A$16,0)),""))/$Q11),0))))</f>
        <v/>
      </c>
      <c r="N11" s="10">
        <f>IF($A11&lt;&gt;"Y",0,IF($K11&lt;&gt;"",$K11,IF($R11="",$H11,ROUND($H11*(IF($E11="","",IFERROR(INDEX(단가설정!$C$11:$C$16,MATCH($E11,단가설정!$A$11:$A$16,0)),""))/$R11),0))))</f>
        <v/>
      </c>
      <c r="O11" s="10">
        <f>IF($A11&lt;&gt;"Y",0,IF($L11&lt;&gt;"",$L11,IF($S11="",$I11,ROUND($I11*(IF($E11="","",IFERROR(INDEX(단가설정!$D$11:$D$16,MATCH($E11,단가설정!$A$11:$A$16,0)),""))/$S11),0))))</f>
        <v/>
      </c>
      <c r="P11" s="7" t="inlineStr"/>
      <c r="Q11" s="11">
        <f>IF($E11="","",IFERROR(INDEX(단가설정!$B$11:$B$16,MATCH($E11,단가설정!$A$11:$A$16,0)),""))</f>
        <v/>
      </c>
      <c r="R11" s="11">
        <f>IF($E11="","",IFERROR(INDEX(단가설정!$C$11:$C$16,MATCH($E11,단가설정!$A$11:$A$16,0)),""))</f>
        <v/>
      </c>
      <c r="S11" s="11">
        <f>IF($E11="","",IFERROR(INDEX(단가설정!$D$11:$D$16,MATCH($E11,단가설정!$A$11:$A$16,0)),""))</f>
        <v/>
      </c>
    </row>
    <row r="12">
      <c r="A12" s="6" t="inlineStr">
        <is>
          <t>Y</t>
        </is>
      </c>
      <c r="B12" s="7" t="inlineStr">
        <is>
          <t>a) 마스터 템플릿</t>
        </is>
      </c>
      <c r="C12" s="7" t="inlineStr">
        <is>
          <t>프론트엔드 개발</t>
        </is>
      </c>
      <c r="D12" s="7" t="inlineStr">
        <is>
          <t>공통 16종 페이지 개발</t>
        </is>
      </c>
      <c r="E12" s="7" t="inlineStr">
        <is>
          <t>프론트엔드 개발</t>
        </is>
      </c>
      <c r="F12" s="8" t="n">
        <v>16</v>
      </c>
      <c r="G12" s="9" t="n">
        <v>6400000</v>
      </c>
      <c r="H12" s="9" t="n">
        <v>8000000</v>
      </c>
      <c r="I12" s="9" t="n">
        <v>10400000</v>
      </c>
      <c r="J12" s="9" t="n"/>
      <c r="K12" s="9" t="n"/>
      <c r="L12" s="9" t="n"/>
      <c r="M12" s="10">
        <f>IF($A12&lt;&gt;"Y",0,IF($J12&lt;&gt;"",$J12,IF($Q12="",$G12,ROUND($G12*(IF($E12="","",IFERROR(INDEX(단가설정!$B$11:$B$16,MATCH($E12,단가설정!$A$11:$A$16,0)),""))/$Q12),0))))</f>
        <v/>
      </c>
      <c r="N12" s="10">
        <f>IF($A12&lt;&gt;"Y",0,IF($K12&lt;&gt;"",$K12,IF($R12="",$H12,ROUND($H12*(IF($E12="","",IFERROR(INDEX(단가설정!$C$11:$C$16,MATCH($E12,단가설정!$A$11:$A$16,0)),""))/$R12),0))))</f>
        <v/>
      </c>
      <c r="O12" s="10">
        <f>IF($A12&lt;&gt;"Y",0,IF($L12&lt;&gt;"",$L12,IF($S12="",$I12,ROUND($I12*(IF($E12="","",IFERROR(INDEX(단가설정!$D$11:$D$16,MATCH($E12,단가설정!$A$11:$A$16,0)),""))/$S12),0))))</f>
        <v/>
      </c>
      <c r="P12" s="7" t="inlineStr"/>
      <c r="Q12" s="11">
        <f>IF($E12="","",IFERROR(INDEX(단가설정!$B$11:$B$16,MATCH($E12,단가설정!$A$11:$A$16,0)),""))</f>
        <v/>
      </c>
      <c r="R12" s="11">
        <f>IF($E12="","",IFERROR(INDEX(단가설정!$C$11:$C$16,MATCH($E12,단가설정!$A$11:$A$16,0)),""))</f>
        <v/>
      </c>
      <c r="S12" s="11">
        <f>IF($E12="","",IFERROR(INDEX(단가설정!$D$11:$D$16,MATCH($E12,단가설정!$A$11:$A$16,0)),""))</f>
        <v/>
      </c>
    </row>
    <row r="13">
      <c r="A13" s="6" t="inlineStr">
        <is>
          <t>Y</t>
        </is>
      </c>
      <c r="B13" s="7" t="inlineStr">
        <is>
          <t>a) 마스터 템플릿</t>
        </is>
      </c>
      <c r="C13" s="7" t="inlineStr">
        <is>
          <t>프론트엔드 개발</t>
        </is>
      </c>
      <c r="D13" s="7" t="inlineStr">
        <is>
          <t>5종 페이지 타입 컴포넌트 라이브러리</t>
        </is>
      </c>
      <c r="E13" s="7" t="inlineStr">
        <is>
          <t>프론트엔드 개발</t>
        </is>
      </c>
      <c r="F13" s="8" t="n">
        <v>8</v>
      </c>
      <c r="G13" s="9" t="n">
        <v>3200000</v>
      </c>
      <c r="H13" s="9" t="n">
        <v>4000000</v>
      </c>
      <c r="I13" s="9" t="n">
        <v>5200000</v>
      </c>
      <c r="J13" s="9" t="n"/>
      <c r="K13" s="9" t="n"/>
      <c r="L13" s="9" t="n"/>
      <c r="M13" s="10">
        <f>IF($A13&lt;&gt;"Y",0,IF($J13&lt;&gt;"",$J13,IF($Q13="",$G13,ROUND($G13*(IF($E13="","",IFERROR(INDEX(단가설정!$B$11:$B$16,MATCH($E13,단가설정!$A$11:$A$16,0)),""))/$Q13),0))))</f>
        <v/>
      </c>
      <c r="N13" s="10">
        <f>IF($A13&lt;&gt;"Y",0,IF($K13&lt;&gt;"",$K13,IF($R13="",$H13,ROUND($H13*(IF($E13="","",IFERROR(INDEX(단가설정!$C$11:$C$16,MATCH($E13,단가설정!$A$11:$A$16,0)),""))/$R13),0))))</f>
        <v/>
      </c>
      <c r="O13" s="10">
        <f>IF($A13&lt;&gt;"Y",0,IF($L13&lt;&gt;"",$L13,IF($S13="",$I13,ROUND($I13*(IF($E13="","",IFERROR(INDEX(단가설정!$D$11:$D$16,MATCH($E13,단가설정!$A$11:$A$16,0)),""))/$S13),0))))</f>
        <v/>
      </c>
      <c r="P13" s="7" t="inlineStr"/>
      <c r="Q13" s="11">
        <f>IF($E13="","",IFERROR(INDEX(단가설정!$B$11:$B$16,MATCH($E13,단가설정!$A$11:$A$16,0)),""))</f>
        <v/>
      </c>
      <c r="R13" s="11">
        <f>IF($E13="","",IFERROR(INDEX(단가설정!$C$11:$C$16,MATCH($E13,단가설정!$A$11:$A$16,0)),""))</f>
        <v/>
      </c>
      <c r="S13" s="11">
        <f>IF($E13="","",IFERROR(INDEX(단가설정!$D$11:$D$16,MATCH($E13,단가설정!$A$11:$A$16,0)),""))</f>
        <v/>
      </c>
    </row>
    <row r="14">
      <c r="A14" s="6" t="inlineStr">
        <is>
          <t>Y</t>
        </is>
      </c>
      <c r="B14" s="7" t="inlineStr">
        <is>
          <t>a) 마스터 템플릿</t>
        </is>
      </c>
      <c r="C14" s="7" t="inlineStr">
        <is>
          <t>프론트엔드 개발</t>
        </is>
      </c>
      <c r="D14" s="7" t="inlineStr">
        <is>
          <t>하이틴센터 고유 5종 (특강, 다이렉트캐스팅, 섭외뉴스 등)</t>
        </is>
      </c>
      <c r="E14" s="7" t="inlineStr">
        <is>
          <t>프론트엔드 개발</t>
        </is>
      </c>
      <c r="F14" s="8" t="n">
        <v>5</v>
      </c>
      <c r="G14" s="9" t="n">
        <v>2000000</v>
      </c>
      <c r="H14" s="9" t="n">
        <v>2500000</v>
      </c>
      <c r="I14" s="9" t="n">
        <v>3250000</v>
      </c>
      <c r="J14" s="9" t="n"/>
      <c r="K14" s="9" t="n"/>
      <c r="L14" s="9" t="n"/>
      <c r="M14" s="10">
        <f>IF($A14&lt;&gt;"Y",0,IF($J14&lt;&gt;"",$J14,IF($Q14="",$G14,ROUND($G14*(IF($E14="","",IFERROR(INDEX(단가설정!$B$11:$B$16,MATCH($E14,단가설정!$A$11:$A$16,0)),""))/$Q14),0))))</f>
        <v/>
      </c>
      <c r="N14" s="10">
        <f>IF($A14&lt;&gt;"Y",0,IF($K14&lt;&gt;"",$K14,IF($R14="",$H14,ROUND($H14*(IF($E14="","",IFERROR(INDEX(단가설정!$C$11:$C$16,MATCH($E14,단가설정!$A$11:$A$16,0)),""))/$R14),0))))</f>
        <v/>
      </c>
      <c r="O14" s="10">
        <f>IF($A14&lt;&gt;"Y",0,IF($L14&lt;&gt;"",$L14,IF($S14="",$I14,ROUND($I14*(IF($E14="","",IFERROR(INDEX(단가설정!$D$11:$D$16,MATCH($E14,단가설정!$A$11:$A$16,0)),""))/$S14),0))))</f>
        <v/>
      </c>
      <c r="P14" s="7" t="inlineStr"/>
      <c r="Q14" s="11">
        <f>IF($E14="","",IFERROR(INDEX(단가설정!$B$11:$B$16,MATCH($E14,단가설정!$A$11:$A$16,0)),""))</f>
        <v/>
      </c>
      <c r="R14" s="11">
        <f>IF($E14="","",IFERROR(INDEX(단가설정!$C$11:$C$16,MATCH($E14,단가설정!$A$11:$A$16,0)),""))</f>
        <v/>
      </c>
      <c r="S14" s="11">
        <f>IF($E14="","",IFERROR(INDEX(단가설정!$D$11:$D$16,MATCH($E14,단가설정!$A$11:$A$16,0)),""))</f>
        <v/>
      </c>
    </row>
    <row r="15">
      <c r="A15" s="6" t="inlineStr">
        <is>
          <t>Y</t>
        </is>
      </c>
      <c r="B15" s="7" t="inlineStr">
        <is>
          <t>a) 마스터 템플릿</t>
        </is>
      </c>
      <c r="C15" s="7" t="inlineStr">
        <is>
          <t>프론트엔드 개발</t>
        </is>
      </c>
      <c r="D15" s="7" t="inlineStr">
        <is>
          <t>반응형 처리 + 크로스브라우저</t>
        </is>
      </c>
      <c r="E15" s="7" t="inlineStr">
        <is>
          <t>프론트엔드 개발</t>
        </is>
      </c>
      <c r="F15" s="8" t="n">
        <v>4</v>
      </c>
      <c r="G15" s="9" t="n">
        <v>1600000</v>
      </c>
      <c r="H15" s="9" t="n">
        <v>2000000</v>
      </c>
      <c r="I15" s="9" t="n">
        <v>2600000</v>
      </c>
      <c r="J15" s="9" t="n"/>
      <c r="K15" s="9" t="n"/>
      <c r="L15" s="9" t="n"/>
      <c r="M15" s="10">
        <f>IF($A15&lt;&gt;"Y",0,IF($J15&lt;&gt;"",$J15,IF($Q15="",$G15,ROUND($G15*(IF($E15="","",IFERROR(INDEX(단가설정!$B$11:$B$16,MATCH($E15,단가설정!$A$11:$A$16,0)),""))/$Q15),0))))</f>
        <v/>
      </c>
      <c r="N15" s="10">
        <f>IF($A15&lt;&gt;"Y",0,IF($K15&lt;&gt;"",$K15,IF($R15="",$H15,ROUND($H15*(IF($E15="","",IFERROR(INDEX(단가설정!$C$11:$C$16,MATCH($E15,단가설정!$A$11:$A$16,0)),""))/$R15),0))))</f>
        <v/>
      </c>
      <c r="O15" s="10">
        <f>IF($A15&lt;&gt;"Y",0,IF($L15&lt;&gt;"",$L15,IF($S15="",$I15,ROUND($I15*(IF($E15="","",IFERROR(INDEX(단가설정!$D$11:$D$16,MATCH($E15,단가설정!$A$11:$A$16,0)),""))/$S15),0))))</f>
        <v/>
      </c>
      <c r="P15" s="7" t="inlineStr"/>
      <c r="Q15" s="11">
        <f>IF($E15="","",IFERROR(INDEX(단가설정!$B$11:$B$16,MATCH($E15,단가설정!$A$11:$A$16,0)),""))</f>
        <v/>
      </c>
      <c r="R15" s="11">
        <f>IF($E15="","",IFERROR(INDEX(단가설정!$C$11:$C$16,MATCH($E15,단가설정!$A$11:$A$16,0)),""))</f>
        <v/>
      </c>
      <c r="S15" s="11">
        <f>IF($E15="","",IFERROR(INDEX(단가설정!$D$11:$D$16,MATCH($E15,단가설정!$A$11:$A$16,0)),""))</f>
        <v/>
      </c>
    </row>
    <row r="16">
      <c r="A16" s="6" t="inlineStr">
        <is>
          <t>Y</t>
        </is>
      </c>
      <c r="B16" s="7" t="inlineStr">
        <is>
          <t>a-1) 브랜딩 리디자인</t>
        </is>
      </c>
      <c r="C16" s="7" t="inlineStr">
        <is>
          <t>브랜드 전략</t>
        </is>
      </c>
      <c r="D16" s="7" t="inlineStr">
        <is>
          <t>5개 센터 BI 방향성 수립 + 리서치</t>
        </is>
      </c>
      <c r="E16" s="7" t="inlineStr">
        <is>
          <t>UX 디자이너</t>
        </is>
      </c>
      <c r="F16" s="8" t="n">
        <v>3</v>
      </c>
      <c r="G16" s="9" t="n">
        <v>900000</v>
      </c>
      <c r="H16" s="9" t="n">
        <v>1350000</v>
      </c>
      <c r="I16" s="9" t="n">
        <v>1800000</v>
      </c>
      <c r="J16" s="9" t="n"/>
      <c r="K16" s="9" t="n"/>
      <c r="L16" s="9" t="n"/>
      <c r="M16" s="10">
        <f>IF($A16&lt;&gt;"Y",0,IF($J16&lt;&gt;"",$J16,IF($Q16="",$G16,ROUND($G16*(IF($E16="","",IFERROR(INDEX(단가설정!$B$11:$B$16,MATCH($E16,단가설정!$A$11:$A$16,0)),""))/$Q16),0))))</f>
        <v/>
      </c>
      <c r="N16" s="10">
        <f>IF($A16&lt;&gt;"Y",0,IF($K16&lt;&gt;"",$K16,IF($R16="",$H16,ROUND($H16*(IF($E16="","",IFERROR(INDEX(단가설정!$C$11:$C$16,MATCH($E16,단가설정!$A$11:$A$16,0)),""))/$R16),0))))</f>
        <v/>
      </c>
      <c r="O16" s="10">
        <f>IF($A16&lt;&gt;"Y",0,IF($L16&lt;&gt;"",$L16,IF($S16="",$I16,ROUND($I16*(IF($E16="","",IFERROR(INDEX(단가설정!$D$11:$D$16,MATCH($E16,단가설정!$A$11:$A$16,0)),""))/$S16),0))))</f>
        <v/>
      </c>
      <c r="P16" s="7" t="inlineStr"/>
      <c r="Q16" s="11">
        <f>IF($E16="","",IFERROR(INDEX(단가설정!$B$11:$B$16,MATCH($E16,단가설정!$A$11:$A$16,0)),""))</f>
        <v/>
      </c>
      <c r="R16" s="11">
        <f>IF($E16="","",IFERROR(INDEX(단가설정!$C$11:$C$16,MATCH($E16,단가설정!$A$11:$A$16,0)),""))</f>
        <v/>
      </c>
      <c r="S16" s="11">
        <f>IF($E16="","",IFERROR(INDEX(단가설정!$D$11:$D$16,MATCH($E16,단가설정!$A$11:$A$16,0)),""))</f>
        <v/>
      </c>
    </row>
    <row r="17">
      <c r="A17" s="6" t="inlineStr">
        <is>
          <t>Y</t>
        </is>
      </c>
      <c r="B17" s="7" t="inlineStr">
        <is>
          <t>a-1) 브랜딩 리디자인</t>
        </is>
      </c>
      <c r="C17" s="7" t="inlineStr">
        <is>
          <t>브랜드 전략</t>
        </is>
      </c>
      <c r="D17" s="7" t="inlineStr">
        <is>
          <t>로고/심볼/컬러 시스템 재정립 (5개)</t>
        </is>
      </c>
      <c r="E17" s="7" t="inlineStr">
        <is>
          <t>UX 디자이너</t>
        </is>
      </c>
      <c r="F17" s="8" t="n">
        <v>10</v>
      </c>
      <c r="G17" s="9" t="n">
        <v>3000000</v>
      </c>
      <c r="H17" s="9" t="n">
        <v>4500000</v>
      </c>
      <c r="I17" s="9" t="n">
        <v>6000000</v>
      </c>
      <c r="J17" s="9" t="n"/>
      <c r="K17" s="9" t="n"/>
      <c r="L17" s="9" t="n"/>
      <c r="M17" s="10">
        <f>IF($A17&lt;&gt;"Y",0,IF($J17&lt;&gt;"",$J17,IF($Q17="",$G17,ROUND($G17*(IF($E17="","",IFERROR(INDEX(단가설정!$B$11:$B$16,MATCH($E17,단가설정!$A$11:$A$16,0)),""))/$Q17),0))))</f>
        <v/>
      </c>
      <c r="N17" s="10">
        <f>IF($A17&lt;&gt;"Y",0,IF($K17&lt;&gt;"",$K17,IF($R17="",$H17,ROUND($H17*(IF($E17="","",IFERROR(INDEX(단가설정!$C$11:$C$16,MATCH($E17,단가설정!$A$11:$A$16,0)),""))/$R17),0))))</f>
        <v/>
      </c>
      <c r="O17" s="10">
        <f>IF($A17&lt;&gt;"Y",0,IF($L17&lt;&gt;"",$L17,IF($S17="",$I17,ROUND($I17*(IF($E17="","",IFERROR(INDEX(단가설정!$D$11:$D$16,MATCH($E17,단가설정!$A$11:$A$16,0)),""))/$S17),0))))</f>
        <v/>
      </c>
      <c r="P17" s="7" t="inlineStr"/>
      <c r="Q17" s="11">
        <f>IF($E17="","",IFERROR(INDEX(단가설정!$B$11:$B$16,MATCH($E17,단가설정!$A$11:$A$16,0)),""))</f>
        <v/>
      </c>
      <c r="R17" s="11">
        <f>IF($E17="","",IFERROR(INDEX(단가설정!$C$11:$C$16,MATCH($E17,단가설정!$A$11:$A$16,0)),""))</f>
        <v/>
      </c>
      <c r="S17" s="11">
        <f>IF($E17="","",IFERROR(INDEX(단가설정!$D$11:$D$16,MATCH($E17,단가설정!$A$11:$A$16,0)),""))</f>
        <v/>
      </c>
    </row>
    <row r="18">
      <c r="A18" s="6" t="inlineStr">
        <is>
          <t>Y</t>
        </is>
      </c>
      <c r="B18" s="7" t="inlineStr">
        <is>
          <t>a-1) 브랜딩 리디자인</t>
        </is>
      </c>
      <c r="C18" s="7" t="inlineStr">
        <is>
          <t>브랜드 전략</t>
        </is>
      </c>
      <c r="D18" s="7" t="inlineStr">
        <is>
          <t>톤앤매너 가이드 (사진/일러스트/아이콘 스타일)</t>
        </is>
      </c>
      <c r="E18" s="7" t="inlineStr">
        <is>
          <t>UI 디자이너</t>
        </is>
      </c>
      <c r="F18" s="8" t="n">
        <v>5</v>
      </c>
      <c r="G18" s="9" t="n">
        <v>1500000</v>
      </c>
      <c r="H18" s="9" t="n">
        <v>2000000</v>
      </c>
      <c r="I18" s="9" t="n">
        <v>2750000</v>
      </c>
      <c r="J18" s="9" t="n"/>
      <c r="K18" s="9" t="n"/>
      <c r="L18" s="9" t="n"/>
      <c r="M18" s="10">
        <f>IF($A18&lt;&gt;"Y",0,IF($J18&lt;&gt;"",$J18,IF($Q18="",$G18,ROUND($G18*(IF($E18="","",IFERROR(INDEX(단가설정!$B$11:$B$16,MATCH($E18,단가설정!$A$11:$A$16,0)),""))/$Q18),0))))</f>
        <v/>
      </c>
      <c r="N18" s="10">
        <f>IF($A18&lt;&gt;"Y",0,IF($K18&lt;&gt;"",$K18,IF($R18="",$H18,ROUND($H18*(IF($E18="","",IFERROR(INDEX(단가설정!$C$11:$C$16,MATCH($E18,단가설정!$A$11:$A$16,0)),""))/$R18),0))))</f>
        <v/>
      </c>
      <c r="O18" s="10">
        <f>IF($A18&lt;&gt;"Y",0,IF($L18&lt;&gt;"",$L18,IF($S18="",$I18,ROUND($I18*(IF($E18="","",IFERROR(INDEX(단가설정!$D$11:$D$16,MATCH($E18,단가설정!$A$11:$A$16,0)),""))/$S18),0))))</f>
        <v/>
      </c>
      <c r="P18" s="7" t="inlineStr"/>
      <c r="Q18" s="11">
        <f>IF($E18="","",IFERROR(INDEX(단가설정!$B$11:$B$16,MATCH($E18,단가설정!$A$11:$A$16,0)),""))</f>
        <v/>
      </c>
      <c r="R18" s="11">
        <f>IF($E18="","",IFERROR(INDEX(단가설정!$C$11:$C$16,MATCH($E18,단가설정!$A$11:$A$16,0)),""))</f>
        <v/>
      </c>
      <c r="S18" s="11">
        <f>IF($E18="","",IFERROR(INDEX(단가설정!$D$11:$D$16,MATCH($E18,단가설정!$A$11:$A$16,0)),""))</f>
        <v/>
      </c>
    </row>
    <row r="19">
      <c r="A19" s="6" t="inlineStr">
        <is>
          <t>Y</t>
        </is>
      </c>
      <c r="B19" s="7" t="inlineStr">
        <is>
          <t>a-1) 브랜딩 리디자인</t>
        </is>
      </c>
      <c r="C19" s="7" t="inlineStr">
        <is>
          <t>브랜드 전략</t>
        </is>
      </c>
      <c r="D19" s="7" t="inlineStr">
        <is>
          <t>브랜드 가이드라인 문서 제작</t>
        </is>
      </c>
      <c r="E19" s="7" t="inlineStr">
        <is>
          <t>UX 디자이너</t>
        </is>
      </c>
      <c r="F19" s="8" t="n">
        <v>3</v>
      </c>
      <c r="G19" s="9" t="n">
        <v>900000</v>
      </c>
      <c r="H19" s="9" t="n">
        <v>1350000</v>
      </c>
      <c r="I19" s="9" t="n">
        <v>1650000</v>
      </c>
      <c r="J19" s="9" t="n"/>
      <c r="K19" s="9" t="n"/>
      <c r="L19" s="9" t="n"/>
      <c r="M19" s="10">
        <f>IF($A19&lt;&gt;"Y",0,IF($J19&lt;&gt;"",$J19,IF($Q19="",$G19,ROUND($G19*(IF($E19="","",IFERROR(INDEX(단가설정!$B$11:$B$16,MATCH($E19,단가설정!$A$11:$A$16,0)),""))/$Q19),0))))</f>
        <v/>
      </c>
      <c r="N19" s="10">
        <f>IF($A19&lt;&gt;"Y",0,IF($K19&lt;&gt;"",$K19,IF($R19="",$H19,ROUND($H19*(IF($E19="","",IFERROR(INDEX(단가설정!$C$11:$C$16,MATCH($E19,단가설정!$A$11:$A$16,0)),""))/$R19),0))))</f>
        <v/>
      </c>
      <c r="O19" s="10">
        <f>IF($A19&lt;&gt;"Y",0,IF($L19&lt;&gt;"",$L19,IF($S19="",$I19,ROUND($I19*(IF($E19="","",IFERROR(INDEX(단가설정!$D$11:$D$16,MATCH($E19,단가설정!$A$11:$A$16,0)),""))/$S19),0))))</f>
        <v/>
      </c>
      <c r="P19" s="7" t="inlineStr"/>
      <c r="Q19" s="11">
        <f>IF($E19="","",IFERROR(INDEX(단가설정!$B$11:$B$16,MATCH($E19,단가설정!$A$11:$A$16,0)),""))</f>
        <v/>
      </c>
      <c r="R19" s="11">
        <f>IF($E19="","",IFERROR(INDEX(단가설정!$C$11:$C$16,MATCH($E19,단가설정!$A$11:$A$16,0)),""))</f>
        <v/>
      </c>
      <c r="S19" s="11">
        <f>IF($E19="","",IFERROR(INDEX(단가설정!$D$11:$D$16,MATCH($E19,단가설정!$A$11:$A$16,0)),""))</f>
        <v/>
      </c>
    </row>
    <row r="20">
      <c r="A20" s="6" t="inlineStr">
        <is>
          <t>Y</t>
        </is>
      </c>
      <c r="B20" s="7" t="inlineStr">
        <is>
          <t>b) 브랜드 커스터마이징</t>
        </is>
      </c>
      <c r="C20" s="7" t="inlineStr">
        <is>
          <t>아트센터</t>
        </is>
      </c>
      <c r="D20" s="7" t="inlineStr">
        <is>
          <t>브랜드 디자인 적용 (색상/이미지/로고 교체)</t>
        </is>
      </c>
      <c r="E20" s="7" t="inlineStr">
        <is>
          <t>UI 디자이너</t>
        </is>
      </c>
      <c r="F20" s="8" t="inlineStr"/>
      <c r="G20" s="9" t="n">
        <v>600000</v>
      </c>
      <c r="H20" s="9" t="n">
        <v>800000</v>
      </c>
      <c r="I20" s="9" t="n">
        <v>1100000</v>
      </c>
      <c r="J20" s="9" t="n"/>
      <c r="K20" s="9" t="n"/>
      <c r="L20" s="9" t="n"/>
      <c r="M20" s="10">
        <f>IF($A20&lt;&gt;"Y",0,IF($J20&lt;&gt;"",$J20,IF($Q20="",$G20,ROUND($G20*(IF($E20="","",IFERROR(INDEX(단가설정!$B$11:$B$16,MATCH($E20,단가설정!$A$11:$A$16,0)),""))/$Q20),0))))</f>
        <v/>
      </c>
      <c r="N20" s="10">
        <f>IF($A20&lt;&gt;"Y",0,IF($K20&lt;&gt;"",$K20,IF($R20="",$H20,ROUND($H20*(IF($E20="","",IFERROR(INDEX(단가설정!$C$11:$C$16,MATCH($E20,단가설정!$A$11:$A$16,0)),""))/$R20),0))))</f>
        <v/>
      </c>
      <c r="O20" s="10">
        <f>IF($A20&lt;&gt;"Y",0,IF($L20&lt;&gt;"",$L20,IF($S20="",$I20,ROUND($I20*(IF($E20="","",IFERROR(INDEX(단가설정!$D$11:$D$16,MATCH($E20,단가설정!$A$11:$A$16,0)),""))/$S20),0))))</f>
        <v/>
      </c>
      <c r="P20" s="7" t="inlineStr"/>
      <c r="Q20" s="11">
        <f>IF($E20="","",IFERROR(INDEX(단가설정!$B$11:$B$16,MATCH($E20,단가설정!$A$11:$A$16,0)),""))</f>
        <v/>
      </c>
      <c r="R20" s="11">
        <f>IF($E20="","",IFERROR(INDEX(단가설정!$C$11:$C$16,MATCH($E20,단가설정!$A$11:$A$16,0)),""))</f>
        <v/>
      </c>
      <c r="S20" s="11">
        <f>IF($E20="","",IFERROR(INDEX(단가설정!$D$11:$D$16,MATCH($E20,단가설정!$A$11:$A$16,0)),""))</f>
        <v/>
      </c>
    </row>
    <row r="21">
      <c r="A21" s="6" t="inlineStr">
        <is>
          <t>Y</t>
        </is>
      </c>
      <c r="B21" s="7" t="inlineStr">
        <is>
          <t>b) 브랜드 커스터마이징</t>
        </is>
      </c>
      <c r="C21" s="7" t="inlineStr">
        <is>
          <t>아트센터</t>
        </is>
      </c>
      <c r="D21" s="7" t="inlineStr">
        <is>
          <t>고유 5종 디자인 (센터소개, 매니저소개, 출신아티스트, 촬영후기, 오디션폼)</t>
        </is>
      </c>
      <c r="E21" s="7" t="inlineStr">
        <is>
          <t>UI 디자이너</t>
        </is>
      </c>
      <c r="F21" s="8" t="inlineStr"/>
      <c r="G21" s="9" t="n">
        <v>1500000</v>
      </c>
      <c r="H21" s="9" t="n">
        <v>2000000</v>
      </c>
      <c r="I21" s="9" t="n">
        <v>2750000</v>
      </c>
      <c r="J21" s="9" t="n"/>
      <c r="K21" s="9" t="n"/>
      <c r="L21" s="9" t="n"/>
      <c r="M21" s="10">
        <f>IF($A21&lt;&gt;"Y",0,IF($J21&lt;&gt;"",$J21,IF($Q21="",$G21,ROUND($G21*(IF($E21="","",IFERROR(INDEX(단가설정!$B$11:$B$16,MATCH($E21,단가설정!$A$11:$A$16,0)),""))/$Q21),0))))</f>
        <v/>
      </c>
      <c r="N21" s="10">
        <f>IF($A21&lt;&gt;"Y",0,IF($K21&lt;&gt;"",$K21,IF($R21="",$H21,ROUND($H21*(IF($E21="","",IFERROR(INDEX(단가설정!$C$11:$C$16,MATCH($E21,단가설정!$A$11:$A$16,0)),""))/$R21),0))))</f>
        <v/>
      </c>
      <c r="O21" s="10">
        <f>IF($A21&lt;&gt;"Y",0,IF($L21&lt;&gt;"",$L21,IF($S21="",$I21,ROUND($I21*(IF($E21="","",IFERROR(INDEX(단가설정!$D$11:$D$16,MATCH($E21,단가설정!$A$11:$A$16,0)),""))/$S21),0))))</f>
        <v/>
      </c>
      <c r="P21" s="7" t="inlineStr"/>
      <c r="Q21" s="11">
        <f>IF($E21="","",IFERROR(INDEX(단가설정!$B$11:$B$16,MATCH($E21,단가설정!$A$11:$A$16,0)),""))</f>
        <v/>
      </c>
      <c r="R21" s="11">
        <f>IF($E21="","",IFERROR(INDEX(단가설정!$C$11:$C$16,MATCH($E21,단가설정!$A$11:$A$16,0)),""))</f>
        <v/>
      </c>
      <c r="S21" s="11">
        <f>IF($E21="","",IFERROR(INDEX(단가설정!$D$11:$D$16,MATCH($E21,단가설정!$A$11:$A$16,0)),""))</f>
        <v/>
      </c>
    </row>
    <row r="22">
      <c r="A22" s="6" t="inlineStr">
        <is>
          <t>Y</t>
        </is>
      </c>
      <c r="B22" s="7" t="inlineStr">
        <is>
          <t>b) 브랜드 커스터마이징</t>
        </is>
      </c>
      <c r="C22" s="7" t="inlineStr">
        <is>
          <t>아트센터</t>
        </is>
      </c>
      <c r="D22" s="7" t="inlineStr">
        <is>
          <t>고유 5종 개발</t>
        </is>
      </c>
      <c r="E22" s="7" t="inlineStr">
        <is>
          <t>프론트엔드 개발</t>
        </is>
      </c>
      <c r="F22" s="8" t="inlineStr"/>
      <c r="G22" s="9" t="n">
        <v>2000000</v>
      </c>
      <c r="H22" s="9" t="n">
        <v>2500000</v>
      </c>
      <c r="I22" s="9" t="n">
        <v>3250000</v>
      </c>
      <c r="J22" s="9" t="n"/>
      <c r="K22" s="9" t="n"/>
      <c r="L22" s="9" t="n"/>
      <c r="M22" s="10">
        <f>IF($A22&lt;&gt;"Y",0,IF($J22&lt;&gt;"",$J22,IF($Q22="",$G22,ROUND($G22*(IF($E22="","",IFERROR(INDEX(단가설정!$B$11:$B$16,MATCH($E22,단가설정!$A$11:$A$16,0)),""))/$Q22),0))))</f>
        <v/>
      </c>
      <c r="N22" s="10">
        <f>IF($A22&lt;&gt;"Y",0,IF($K22&lt;&gt;"",$K22,IF($R22="",$H22,ROUND($H22*(IF($E22="","",IFERROR(INDEX(단가설정!$C$11:$C$16,MATCH($E22,단가설정!$A$11:$A$16,0)),""))/$R22),0))))</f>
        <v/>
      </c>
      <c r="O22" s="10">
        <f>IF($A22&lt;&gt;"Y",0,IF($L22&lt;&gt;"",$L22,IF($S22="",$I22,ROUND($I22*(IF($E22="","",IFERROR(INDEX(단가설정!$D$11:$D$16,MATCH($E22,단가설정!$A$11:$A$16,0)),""))/$S22),0))))</f>
        <v/>
      </c>
      <c r="P22" s="7" t="inlineStr"/>
      <c r="Q22" s="11">
        <f>IF($E22="","",IFERROR(INDEX(단가설정!$B$11:$B$16,MATCH($E22,단가설정!$A$11:$A$16,0)),""))</f>
        <v/>
      </c>
      <c r="R22" s="11">
        <f>IF($E22="","",IFERROR(INDEX(단가설정!$C$11:$C$16,MATCH($E22,단가설정!$A$11:$A$16,0)),""))</f>
        <v/>
      </c>
      <c r="S22" s="11">
        <f>IF($E22="","",IFERROR(INDEX(단가설정!$D$11:$D$16,MATCH($E22,단가설정!$A$11:$A$16,0)),""))</f>
        <v/>
      </c>
    </row>
    <row r="23">
      <c r="A23" s="6" t="inlineStr">
        <is>
          <t>Y</t>
        </is>
      </c>
      <c r="B23" s="7" t="inlineStr">
        <is>
          <t>b) 브랜드 커스터마이징</t>
        </is>
      </c>
      <c r="C23" s="7" t="inlineStr">
        <is>
          <t>입시센터</t>
        </is>
      </c>
      <c r="D23" s="7" t="inlineStr">
        <is>
          <t>브랜드 디자인 적용</t>
        </is>
      </c>
      <c r="E23" s="7" t="inlineStr">
        <is>
          <t>UI 디자이너</t>
        </is>
      </c>
      <c r="F23" s="8" t="inlineStr"/>
      <c r="G23" s="9" t="n">
        <v>600000</v>
      </c>
      <c r="H23" s="9" t="n">
        <v>800000</v>
      </c>
      <c r="I23" s="9" t="n">
        <v>1100000</v>
      </c>
      <c r="J23" s="9" t="n"/>
      <c r="K23" s="9" t="n"/>
      <c r="L23" s="9" t="n"/>
      <c r="M23" s="10">
        <f>IF($A23&lt;&gt;"Y",0,IF($J23&lt;&gt;"",$J23,IF($Q23="",$G23,ROUND($G23*(IF($E23="","",IFERROR(INDEX(단가설정!$B$11:$B$16,MATCH($E23,단가설정!$A$11:$A$16,0)),""))/$Q23),0))))</f>
        <v/>
      </c>
      <c r="N23" s="10">
        <f>IF($A23&lt;&gt;"Y",0,IF($K23&lt;&gt;"",$K23,IF($R23="",$H23,ROUND($H23*(IF($E23="","",IFERROR(INDEX(단가설정!$C$11:$C$16,MATCH($E23,단가설정!$A$11:$A$16,0)),""))/$R23),0))))</f>
        <v/>
      </c>
      <c r="O23" s="10">
        <f>IF($A23&lt;&gt;"Y",0,IF($L23&lt;&gt;"",$L23,IF($S23="",$I23,ROUND($I23*(IF($E23="","",IFERROR(INDEX(단가설정!$D$11:$D$16,MATCH($E23,단가설정!$A$11:$A$16,0)),""))/$S23),0))))</f>
        <v/>
      </c>
      <c r="P23" s="7" t="inlineStr"/>
      <c r="Q23" s="11">
        <f>IF($E23="","",IFERROR(INDEX(단가설정!$B$11:$B$16,MATCH($E23,단가설정!$A$11:$A$16,0)),""))</f>
        <v/>
      </c>
      <c r="R23" s="11">
        <f>IF($E23="","",IFERROR(INDEX(단가설정!$C$11:$C$16,MATCH($E23,단가설정!$A$11:$A$16,0)),""))</f>
        <v/>
      </c>
      <c r="S23" s="11">
        <f>IF($E23="","",IFERROR(INDEX(단가설정!$D$11:$D$16,MATCH($E23,단가설정!$A$11:$A$16,0)),""))</f>
        <v/>
      </c>
    </row>
    <row r="24">
      <c r="A24" s="6" t="inlineStr">
        <is>
          <t>Y</t>
        </is>
      </c>
      <c r="B24" s="7" t="inlineStr">
        <is>
          <t>b) 브랜드 커스터마이징</t>
        </is>
      </c>
      <c r="C24" s="7" t="inlineStr">
        <is>
          <t>입시센터</t>
        </is>
      </c>
      <c r="D24" s="7" t="inlineStr">
        <is>
          <t>고유 13종 디자인 (커리큘럼 5, 합격현황 2, 후기/영상, 장학, 연혁 등)</t>
        </is>
      </c>
      <c r="E24" s="7" t="inlineStr">
        <is>
          <t>UI 디자이너</t>
        </is>
      </c>
      <c r="F24" s="8" t="inlineStr"/>
      <c r="G24" s="9" t="n">
        <v>3900000</v>
      </c>
      <c r="H24" s="9" t="n">
        <v>5200000</v>
      </c>
      <c r="I24" s="9" t="n">
        <v>7150000</v>
      </c>
      <c r="J24" s="9" t="n"/>
      <c r="K24" s="9" t="n"/>
      <c r="L24" s="9" t="n"/>
      <c r="M24" s="10">
        <f>IF($A24&lt;&gt;"Y",0,IF($J24&lt;&gt;"",$J24,IF($Q24="",$G24,ROUND($G24*(IF($E24="","",IFERROR(INDEX(단가설정!$B$11:$B$16,MATCH($E24,단가설정!$A$11:$A$16,0)),""))/$Q24),0))))</f>
        <v/>
      </c>
      <c r="N24" s="10">
        <f>IF($A24&lt;&gt;"Y",0,IF($K24&lt;&gt;"",$K24,IF($R24="",$H24,ROUND($H24*(IF($E24="","",IFERROR(INDEX(단가설정!$C$11:$C$16,MATCH($E24,단가설정!$A$11:$A$16,0)),""))/$R24),0))))</f>
        <v/>
      </c>
      <c r="O24" s="10">
        <f>IF($A24&lt;&gt;"Y",0,IF($L24&lt;&gt;"",$L24,IF($S24="",$I24,ROUND($I24*(IF($E24="","",IFERROR(INDEX(단가설정!$D$11:$D$16,MATCH($E24,단가설정!$A$11:$A$16,0)),""))/$S24),0))))</f>
        <v/>
      </c>
      <c r="P24" s="7" t="inlineStr"/>
      <c r="Q24" s="11">
        <f>IF($E24="","",IFERROR(INDEX(단가설정!$B$11:$B$16,MATCH($E24,단가설정!$A$11:$A$16,0)),""))</f>
        <v/>
      </c>
      <c r="R24" s="11">
        <f>IF($E24="","",IFERROR(INDEX(단가설정!$C$11:$C$16,MATCH($E24,단가설정!$A$11:$A$16,0)),""))</f>
        <v/>
      </c>
      <c r="S24" s="11">
        <f>IF($E24="","",IFERROR(INDEX(단가설정!$D$11:$D$16,MATCH($E24,단가설정!$A$11:$A$16,0)),""))</f>
        <v/>
      </c>
    </row>
    <row r="25">
      <c r="A25" s="6" t="inlineStr">
        <is>
          <t>Y</t>
        </is>
      </c>
      <c r="B25" s="7" t="inlineStr">
        <is>
          <t>b) 브랜드 커스터마이징</t>
        </is>
      </c>
      <c r="C25" s="7" t="inlineStr">
        <is>
          <t>입시센터</t>
        </is>
      </c>
      <c r="D25" s="7" t="inlineStr">
        <is>
          <t>고유 13종 개발</t>
        </is>
      </c>
      <c r="E25" s="7" t="inlineStr">
        <is>
          <t>프론트엔드 개발</t>
        </is>
      </c>
      <c r="F25" s="8" t="inlineStr"/>
      <c r="G25" s="9" t="n">
        <v>5200000</v>
      </c>
      <c r="H25" s="9" t="n">
        <v>6500000</v>
      </c>
      <c r="I25" s="9" t="n">
        <v>8450000</v>
      </c>
      <c r="J25" s="9" t="n"/>
      <c r="K25" s="9" t="n"/>
      <c r="L25" s="9" t="n"/>
      <c r="M25" s="10">
        <f>IF($A25&lt;&gt;"Y",0,IF($J25&lt;&gt;"",$J25,IF($Q25="",$G25,ROUND($G25*(IF($E25="","",IFERROR(INDEX(단가설정!$B$11:$B$16,MATCH($E25,단가설정!$A$11:$A$16,0)),""))/$Q25),0))))</f>
        <v/>
      </c>
      <c r="N25" s="10">
        <f>IF($A25&lt;&gt;"Y",0,IF($K25&lt;&gt;"",$K25,IF($R25="",$H25,ROUND($H25*(IF($E25="","",IFERROR(INDEX(단가설정!$C$11:$C$16,MATCH($E25,단가설정!$A$11:$A$16,0)),""))/$R25),0))))</f>
        <v/>
      </c>
      <c r="O25" s="10">
        <f>IF($A25&lt;&gt;"Y",0,IF($L25&lt;&gt;"",$L25,IF($S25="",$I25,ROUND($I25*(IF($E25="","",IFERROR(INDEX(단가설정!$D$11:$D$16,MATCH($E25,단가설정!$A$11:$A$16,0)),""))/$S25),0))))</f>
        <v/>
      </c>
      <c r="P25" s="7" t="inlineStr"/>
      <c r="Q25" s="11">
        <f>IF($E25="","",IFERROR(INDEX(단가설정!$B$11:$B$16,MATCH($E25,단가설정!$A$11:$A$16,0)),""))</f>
        <v/>
      </c>
      <c r="R25" s="11">
        <f>IF($E25="","",IFERROR(INDEX(단가설정!$C$11:$C$16,MATCH($E25,단가설정!$A$11:$A$16,0)),""))</f>
        <v/>
      </c>
      <c r="S25" s="11">
        <f>IF($E25="","",IFERROR(INDEX(단가설정!$D$11:$D$16,MATCH($E25,단가설정!$A$11:$A$16,0)),""))</f>
        <v/>
      </c>
    </row>
    <row r="26">
      <c r="A26" s="6" t="inlineStr">
        <is>
          <t>Y</t>
        </is>
      </c>
      <c r="B26" s="7" t="inlineStr">
        <is>
          <t>b) 브랜드 커스터마이징</t>
        </is>
      </c>
      <c r="C26" s="7" t="inlineStr">
        <is>
          <t>키즈센터</t>
        </is>
      </c>
      <c r="D26" s="7" t="inlineStr">
        <is>
          <t>브랜드 디자인 적용</t>
        </is>
      </c>
      <c r="E26" s="7" t="inlineStr">
        <is>
          <t>UI 디자이너</t>
        </is>
      </c>
      <c r="F26" s="8" t="inlineStr"/>
      <c r="G26" s="9" t="n">
        <v>600000</v>
      </c>
      <c r="H26" s="9" t="n">
        <v>800000</v>
      </c>
      <c r="I26" s="9" t="n">
        <v>1100000</v>
      </c>
      <c r="J26" s="9" t="n"/>
      <c r="K26" s="9" t="n"/>
      <c r="L26" s="9" t="n"/>
      <c r="M26" s="10">
        <f>IF($A26&lt;&gt;"Y",0,IF($J26&lt;&gt;"",$J26,IF($Q26="",$G26,ROUND($G26*(IF($E26="","",IFERROR(INDEX(단가설정!$B$11:$B$16,MATCH($E26,단가설정!$A$11:$A$16,0)),""))/$Q26),0))))</f>
        <v/>
      </c>
      <c r="N26" s="10">
        <f>IF($A26&lt;&gt;"Y",0,IF($K26&lt;&gt;"",$K26,IF($R26="",$H26,ROUND($H26*(IF($E26="","",IFERROR(INDEX(단가설정!$C$11:$C$16,MATCH($E26,단가설정!$A$11:$A$16,0)),""))/$R26),0))))</f>
        <v/>
      </c>
      <c r="O26" s="10">
        <f>IF($A26&lt;&gt;"Y",0,IF($L26&lt;&gt;"",$L26,IF($S26="",$I26,ROUND($I26*(IF($E26="","",IFERROR(INDEX(단가설정!$D$11:$D$16,MATCH($E26,단가설정!$A$11:$A$16,0)),""))/$S26),0))))</f>
        <v/>
      </c>
      <c r="P26" s="7" t="inlineStr"/>
      <c r="Q26" s="11">
        <f>IF($E26="","",IFERROR(INDEX(단가설정!$B$11:$B$16,MATCH($E26,단가설정!$A$11:$A$16,0)),""))</f>
        <v/>
      </c>
      <c r="R26" s="11">
        <f>IF($E26="","",IFERROR(INDEX(단가설정!$C$11:$C$16,MATCH($E26,단가설정!$A$11:$A$16,0)),""))</f>
        <v/>
      </c>
      <c r="S26" s="11">
        <f>IF($E26="","",IFERROR(INDEX(단가설정!$D$11:$D$16,MATCH($E26,단가설정!$A$11:$A$16,0)),""))</f>
        <v/>
      </c>
    </row>
    <row r="27">
      <c r="A27" s="6" t="inlineStr">
        <is>
          <t>Y</t>
        </is>
      </c>
      <c r="B27" s="7" t="inlineStr">
        <is>
          <t>b) 브랜드 커스터마이징</t>
        </is>
      </c>
      <c r="C27" s="7" t="inlineStr">
        <is>
          <t>키즈센터</t>
        </is>
      </c>
      <c r="D27" s="7" t="inlineStr">
        <is>
          <t>고유 5종 디자인 (교육과정 3, 추가 캐스팅보드 2)</t>
        </is>
      </c>
      <c r="E27" s="7" t="inlineStr">
        <is>
          <t>UI 디자이너</t>
        </is>
      </c>
      <c r="F27" s="8" t="inlineStr"/>
      <c r="G27" s="9" t="n">
        <v>1500000</v>
      </c>
      <c r="H27" s="9" t="n">
        <v>2000000</v>
      </c>
      <c r="I27" s="9" t="n">
        <v>2750000</v>
      </c>
      <c r="J27" s="9" t="n"/>
      <c r="K27" s="9" t="n"/>
      <c r="L27" s="9" t="n"/>
      <c r="M27" s="10">
        <f>IF($A27&lt;&gt;"Y",0,IF($J27&lt;&gt;"",$J27,IF($Q27="",$G27,ROUND($G27*(IF($E27="","",IFERROR(INDEX(단가설정!$B$11:$B$16,MATCH($E27,단가설정!$A$11:$A$16,0)),""))/$Q27),0))))</f>
        <v/>
      </c>
      <c r="N27" s="10">
        <f>IF($A27&lt;&gt;"Y",0,IF($K27&lt;&gt;"",$K27,IF($R27="",$H27,ROUND($H27*(IF($E27="","",IFERROR(INDEX(단가설정!$C$11:$C$16,MATCH($E27,단가설정!$A$11:$A$16,0)),""))/$R27),0))))</f>
        <v/>
      </c>
      <c r="O27" s="10">
        <f>IF($A27&lt;&gt;"Y",0,IF($L27&lt;&gt;"",$L27,IF($S27="",$I27,ROUND($I27*(IF($E27="","",IFERROR(INDEX(단가설정!$D$11:$D$16,MATCH($E27,단가설정!$A$11:$A$16,0)),""))/$S27),0))))</f>
        <v/>
      </c>
      <c r="P27" s="7" t="inlineStr"/>
      <c r="Q27" s="11">
        <f>IF($E27="","",IFERROR(INDEX(단가설정!$B$11:$B$16,MATCH($E27,단가설정!$A$11:$A$16,0)),""))</f>
        <v/>
      </c>
      <c r="R27" s="11">
        <f>IF($E27="","",IFERROR(INDEX(단가설정!$C$11:$C$16,MATCH($E27,단가설정!$A$11:$A$16,0)),""))</f>
        <v/>
      </c>
      <c r="S27" s="11">
        <f>IF($E27="","",IFERROR(INDEX(단가설정!$D$11:$D$16,MATCH($E27,단가설정!$A$11:$A$16,0)),""))</f>
        <v/>
      </c>
    </row>
    <row r="28">
      <c r="A28" s="6" t="inlineStr">
        <is>
          <t>Y</t>
        </is>
      </c>
      <c r="B28" s="7" t="inlineStr">
        <is>
          <t>b) 브랜드 커스터마이징</t>
        </is>
      </c>
      <c r="C28" s="7" t="inlineStr">
        <is>
          <t>키즈센터</t>
        </is>
      </c>
      <c r="D28" s="7" t="inlineStr">
        <is>
          <t>고유 5종 개발</t>
        </is>
      </c>
      <c r="E28" s="7" t="inlineStr">
        <is>
          <t>프론트엔드 개발</t>
        </is>
      </c>
      <c r="F28" s="8" t="inlineStr"/>
      <c r="G28" s="9" t="n">
        <v>2000000</v>
      </c>
      <c r="H28" s="9" t="n">
        <v>2500000</v>
      </c>
      <c r="I28" s="9" t="n">
        <v>3250000</v>
      </c>
      <c r="J28" s="9" t="n"/>
      <c r="K28" s="9" t="n"/>
      <c r="L28" s="9" t="n"/>
      <c r="M28" s="10">
        <f>IF($A28&lt;&gt;"Y",0,IF($J28&lt;&gt;"",$J28,IF($Q28="",$G28,ROUND($G28*(IF($E28="","",IFERROR(INDEX(단가설정!$B$11:$B$16,MATCH($E28,단가설정!$A$11:$A$16,0)),""))/$Q28),0))))</f>
        <v/>
      </c>
      <c r="N28" s="10">
        <f>IF($A28&lt;&gt;"Y",0,IF($K28&lt;&gt;"",$K28,IF($R28="",$H28,ROUND($H28*(IF($E28="","",IFERROR(INDEX(단가설정!$C$11:$C$16,MATCH($E28,단가설정!$A$11:$A$16,0)),""))/$R28),0))))</f>
        <v/>
      </c>
      <c r="O28" s="10">
        <f>IF($A28&lt;&gt;"Y",0,IF($L28&lt;&gt;"",$L28,IF($S28="",$I28,ROUND($I28*(IF($E28="","",IFERROR(INDEX(단가설정!$D$11:$D$16,MATCH($E28,단가설정!$A$11:$A$16,0)),""))/$S28),0))))</f>
        <v/>
      </c>
      <c r="P28" s="7" t="inlineStr"/>
      <c r="Q28" s="11">
        <f>IF($E28="","",IFERROR(INDEX(단가설정!$B$11:$B$16,MATCH($E28,단가설정!$A$11:$A$16,0)),""))</f>
        <v/>
      </c>
      <c r="R28" s="11">
        <f>IF($E28="","",IFERROR(INDEX(단가설정!$C$11:$C$16,MATCH($E28,단가설정!$A$11:$A$16,0)),""))</f>
        <v/>
      </c>
      <c r="S28" s="11">
        <f>IF($E28="","",IFERROR(INDEX(단가설정!$D$11:$D$16,MATCH($E28,단가설정!$A$11:$A$16,0)),""))</f>
        <v/>
      </c>
    </row>
    <row r="29">
      <c r="A29" s="6" t="inlineStr">
        <is>
          <t>Y</t>
        </is>
      </c>
      <c r="B29" s="7" t="inlineStr">
        <is>
          <t>c) 공통 기능</t>
        </is>
      </c>
      <c r="C29" s="7" t="inlineStr">
        <is>
          <t>CMS/플랫폼</t>
        </is>
      </c>
      <c r="D29" s="7" t="inlineStr">
        <is>
          <t>Payload CMS 셋업 + 콘텐츠 모델링 (5개 브랜드)</t>
        </is>
      </c>
      <c r="E29" s="7" t="inlineStr">
        <is>
          <t>백엔드/CMS 개발</t>
        </is>
      </c>
      <c r="F29" s="8" t="n">
        <v>10</v>
      </c>
      <c r="G29" s="9" t="n">
        <v>4000000</v>
      </c>
      <c r="H29" s="9" t="n">
        <v>5000000</v>
      </c>
      <c r="I29" s="9" t="n">
        <v>6500000</v>
      </c>
      <c r="J29" s="9" t="n"/>
      <c r="K29" s="9" t="n"/>
      <c r="L29" s="9" t="n"/>
      <c r="M29" s="10">
        <f>IF($A29&lt;&gt;"Y",0,IF($J29&lt;&gt;"",$J29,IF($Q29="",$G29,ROUND($G29*(IF($E29="","",IFERROR(INDEX(단가설정!$B$11:$B$16,MATCH($E29,단가설정!$A$11:$A$16,0)),""))/$Q29),0))))</f>
        <v/>
      </c>
      <c r="N29" s="10">
        <f>IF($A29&lt;&gt;"Y",0,IF($K29&lt;&gt;"",$K29,IF($R29="",$H29,ROUND($H29*(IF($E29="","",IFERROR(INDEX(단가설정!$C$11:$C$16,MATCH($E29,단가설정!$A$11:$A$16,0)),""))/$R29),0))))</f>
        <v/>
      </c>
      <c r="O29" s="10">
        <f>IF($A29&lt;&gt;"Y",0,IF($L29&lt;&gt;"",$L29,IF($S29="",$I29,ROUND($I29*(IF($E29="","",IFERROR(INDEX(단가설정!$D$11:$D$16,MATCH($E29,단가설정!$A$11:$A$16,0)),""))/$S29),0))))</f>
        <v/>
      </c>
      <c r="P29" s="7" t="inlineStr"/>
      <c r="Q29" s="11">
        <f>IF($E29="","",IFERROR(INDEX(단가설정!$B$11:$B$16,MATCH($E29,단가설정!$A$11:$A$16,0)),""))</f>
        <v/>
      </c>
      <c r="R29" s="11">
        <f>IF($E29="","",IFERROR(INDEX(단가설정!$C$11:$C$16,MATCH($E29,단가설정!$A$11:$A$16,0)),""))</f>
        <v/>
      </c>
      <c r="S29" s="11">
        <f>IF($E29="","",IFERROR(INDEX(단가설정!$D$11:$D$16,MATCH($E29,단가설정!$A$11:$A$16,0)),""))</f>
        <v/>
      </c>
    </row>
    <row r="30">
      <c r="A30" s="6" t="inlineStr">
        <is>
          <t>Y</t>
        </is>
      </c>
      <c r="B30" s="7" t="inlineStr">
        <is>
          <t>c) 공통 기능</t>
        </is>
      </c>
      <c r="C30" s="7" t="inlineStr">
        <is>
          <t>CMS/플랫폼</t>
        </is>
      </c>
      <c r="D30" s="7" t="inlineStr">
        <is>
          <t>CMS 어드민 UI 커스터마이징 + 권한 관리</t>
        </is>
      </c>
      <c r="E30" s="7" t="inlineStr">
        <is>
          <t>백엔드/CMS 개발</t>
        </is>
      </c>
      <c r="F30" s="8" t="n">
        <v>5</v>
      </c>
      <c r="G30" s="9" t="n">
        <v>2000000</v>
      </c>
      <c r="H30" s="9" t="n">
        <v>2500000</v>
      </c>
      <c r="I30" s="9" t="n">
        <v>3250000</v>
      </c>
      <c r="J30" s="9" t="n"/>
      <c r="K30" s="9" t="n"/>
      <c r="L30" s="9" t="n"/>
      <c r="M30" s="10">
        <f>IF($A30&lt;&gt;"Y",0,IF($J30&lt;&gt;"",$J30,IF($Q30="",$G30,ROUND($G30*(IF($E30="","",IFERROR(INDEX(단가설정!$B$11:$B$16,MATCH($E30,단가설정!$A$11:$A$16,0)),""))/$Q30),0))))</f>
        <v/>
      </c>
      <c r="N30" s="10">
        <f>IF($A30&lt;&gt;"Y",0,IF($K30&lt;&gt;"",$K30,IF($R30="",$H30,ROUND($H30*(IF($E30="","",IFERROR(INDEX(단가설정!$C$11:$C$16,MATCH($E30,단가설정!$A$11:$A$16,0)),""))/$R30),0))))</f>
        <v/>
      </c>
      <c r="O30" s="10">
        <f>IF($A30&lt;&gt;"Y",0,IF($L30&lt;&gt;"",$L30,IF($S30="",$I30,ROUND($I30*(IF($E30="","",IFERROR(INDEX(단가설정!$D$11:$D$16,MATCH($E30,단가설정!$A$11:$A$16,0)),""))/$S30),0))))</f>
        <v/>
      </c>
      <c r="P30" s="7" t="inlineStr"/>
      <c r="Q30" s="11">
        <f>IF($E30="","",IFERROR(INDEX(단가설정!$B$11:$B$16,MATCH($E30,단가설정!$A$11:$A$16,0)),""))</f>
        <v/>
      </c>
      <c r="R30" s="11">
        <f>IF($E30="","",IFERROR(INDEX(단가설정!$C$11:$C$16,MATCH($E30,단가설정!$A$11:$A$16,0)),""))</f>
        <v/>
      </c>
      <c r="S30" s="11">
        <f>IF($E30="","",IFERROR(INDEX(단가설정!$D$11:$D$16,MATCH($E30,단가설정!$A$11:$A$16,0)),""))</f>
        <v/>
      </c>
    </row>
    <row r="31">
      <c r="A31" s="6" t="inlineStr">
        <is>
          <t>Y</t>
        </is>
      </c>
      <c r="B31" s="7" t="inlineStr">
        <is>
          <t>c) 공통 기능</t>
        </is>
      </c>
      <c r="C31" s="7" t="inlineStr">
        <is>
          <t>CMS/플랫폼</t>
        </is>
      </c>
      <c r="D31" s="7" t="inlineStr">
        <is>
          <t>통합 상담 폼 (5개 센터 선택 + API + 알림)</t>
        </is>
      </c>
      <c r="E31" s="7" t="inlineStr">
        <is>
          <t>백엔드/CMS 개발</t>
        </is>
      </c>
      <c r="F31" s="8" t="n">
        <v>5</v>
      </c>
      <c r="G31" s="9" t="n">
        <v>2000000</v>
      </c>
      <c r="H31" s="9" t="n">
        <v>2500000</v>
      </c>
      <c r="I31" s="9" t="n">
        <v>3250000</v>
      </c>
      <c r="J31" s="9" t="n"/>
      <c r="K31" s="9" t="n"/>
      <c r="L31" s="9" t="n"/>
      <c r="M31" s="10">
        <f>IF($A31&lt;&gt;"Y",0,IF($J31&lt;&gt;"",$J31,IF($Q31="",$G31,ROUND($G31*(IF($E31="","",IFERROR(INDEX(단가설정!$B$11:$B$16,MATCH($E31,단가설정!$A$11:$A$16,0)),""))/$Q31),0))))</f>
        <v/>
      </c>
      <c r="N31" s="10">
        <f>IF($A31&lt;&gt;"Y",0,IF($K31&lt;&gt;"",$K31,IF($R31="",$H31,ROUND($H31*(IF($E31="","",IFERROR(INDEX(단가설정!$C$11:$C$16,MATCH($E31,단가설정!$A$11:$A$16,0)),""))/$R31),0))))</f>
        <v/>
      </c>
      <c r="O31" s="10">
        <f>IF($A31&lt;&gt;"Y",0,IF($L31&lt;&gt;"",$L31,IF($S31="",$I31,ROUND($I31*(IF($E31="","",IFERROR(INDEX(단가설정!$D$11:$D$16,MATCH($E31,단가설정!$A$11:$A$16,0)),""))/$S31),0))))</f>
        <v/>
      </c>
      <c r="P31" s="7" t="inlineStr"/>
      <c r="Q31" s="11">
        <f>IF($E31="","",IFERROR(INDEX(단가설정!$B$11:$B$16,MATCH($E31,단가설정!$A$11:$A$16,0)),""))</f>
        <v/>
      </c>
      <c r="R31" s="11">
        <f>IF($E31="","",IFERROR(INDEX(단가설정!$C$11:$C$16,MATCH($E31,단가설정!$A$11:$A$16,0)),""))</f>
        <v/>
      </c>
      <c r="S31" s="11">
        <f>IF($E31="","",IFERROR(INDEX(단가설정!$D$11:$D$16,MATCH($E31,단가설정!$A$11:$A$16,0)),""))</f>
        <v/>
      </c>
    </row>
    <row r="32">
      <c r="A32" s="6" t="inlineStr">
        <is>
          <t>Y</t>
        </is>
      </c>
      <c r="B32" s="7" t="inlineStr">
        <is>
          <t>c) 공통 기능</t>
        </is>
      </c>
      <c r="C32" s="7" t="inlineStr">
        <is>
          <t>CMS/플랫폼</t>
        </is>
      </c>
      <c r="D32" s="7" t="inlineStr">
        <is>
          <t>통합 관리자 대시보드 (센터별 상담 조회/관리)</t>
        </is>
      </c>
      <c r="E32" s="7" t="inlineStr">
        <is>
          <t>백엔드/CMS 개발</t>
        </is>
      </c>
      <c r="F32" s="8" t="n">
        <v>6</v>
      </c>
      <c r="G32" s="9" t="n">
        <v>2400000</v>
      </c>
      <c r="H32" s="9" t="n">
        <v>3000000</v>
      </c>
      <c r="I32" s="9" t="n">
        <v>3900000</v>
      </c>
      <c r="J32" s="9" t="n"/>
      <c r="K32" s="9" t="n"/>
      <c r="L32" s="9" t="n"/>
      <c r="M32" s="10">
        <f>IF($A32&lt;&gt;"Y",0,IF($J32&lt;&gt;"",$J32,IF($Q32="",$G32,ROUND($G32*(IF($E32="","",IFERROR(INDEX(단가설정!$B$11:$B$16,MATCH($E32,단가설정!$A$11:$A$16,0)),""))/$Q32),0))))</f>
        <v/>
      </c>
      <c r="N32" s="10">
        <f>IF($A32&lt;&gt;"Y",0,IF($K32&lt;&gt;"",$K32,IF($R32="",$H32,ROUND($H32*(IF($E32="","",IFERROR(INDEX(단가설정!$C$11:$C$16,MATCH($E32,단가설정!$A$11:$A$16,0)),""))/$R32),0))))</f>
        <v/>
      </c>
      <c r="O32" s="10">
        <f>IF($A32&lt;&gt;"Y",0,IF($L32&lt;&gt;"",$L32,IF($S32="",$I32,ROUND($I32*(IF($E32="","",IFERROR(INDEX(단가설정!$D$11:$D$16,MATCH($E32,단가설정!$A$11:$A$16,0)),""))/$S32),0))))</f>
        <v/>
      </c>
      <c r="P32" s="7" t="inlineStr"/>
      <c r="Q32" s="11">
        <f>IF($E32="","",IFERROR(INDEX(단가설정!$B$11:$B$16,MATCH($E32,단가설정!$A$11:$A$16,0)),""))</f>
        <v/>
      </c>
      <c r="R32" s="11">
        <f>IF($E32="","",IFERROR(INDEX(단가설정!$C$11:$C$16,MATCH($E32,단가설정!$A$11:$A$16,0)),""))</f>
        <v/>
      </c>
      <c r="S32" s="11">
        <f>IF($E32="","",IFERROR(INDEX(단가설정!$D$11:$D$16,MATCH($E32,단가설정!$A$11:$A$16,0)),""))</f>
        <v/>
      </c>
    </row>
    <row r="33">
      <c r="A33" s="6" t="inlineStr">
        <is>
          <t>Y</t>
        </is>
      </c>
      <c r="B33" s="7" t="inlineStr">
        <is>
          <t>c) 공통 기능</t>
        </is>
      </c>
      <c r="C33" s="7" t="inlineStr">
        <is>
          <t>CMS/플랫폼</t>
        </is>
      </c>
      <c r="D33" s="7" t="inlineStr">
        <is>
          <t>그누보드 데이터 마이그레이션 스크립트</t>
        </is>
      </c>
      <c r="E33" s="7" t="inlineStr">
        <is>
          <t>백엔드/CMS 개발</t>
        </is>
      </c>
      <c r="F33" s="8" t="n">
        <v>5</v>
      </c>
      <c r="G33" s="9" t="n">
        <v>2000000</v>
      </c>
      <c r="H33" s="9" t="n">
        <v>2500000</v>
      </c>
      <c r="I33" s="9" t="n">
        <v>3250000</v>
      </c>
      <c r="J33" s="9" t="n"/>
      <c r="K33" s="9" t="n"/>
      <c r="L33" s="9" t="n"/>
      <c r="M33" s="10">
        <f>IF($A33&lt;&gt;"Y",0,IF($J33&lt;&gt;"",$J33,IF($Q33="",$G33,ROUND($G33*(IF($E33="","",IFERROR(INDEX(단가설정!$B$11:$B$16,MATCH($E33,단가설정!$A$11:$A$16,0)),""))/$Q33),0))))</f>
        <v/>
      </c>
      <c r="N33" s="10">
        <f>IF($A33&lt;&gt;"Y",0,IF($K33&lt;&gt;"",$K33,IF($R33="",$H33,ROUND($H33*(IF($E33="","",IFERROR(INDEX(단가설정!$C$11:$C$16,MATCH($E33,단가설정!$A$11:$A$16,0)),""))/$R33),0))))</f>
        <v/>
      </c>
      <c r="O33" s="10">
        <f>IF($A33&lt;&gt;"Y",0,IF($L33&lt;&gt;"",$L33,IF($S33="",$I33,ROUND($I33*(IF($E33="","",IFERROR(INDEX(단가설정!$D$11:$D$16,MATCH($E33,단가설정!$A$11:$A$16,0)),""))/$S33),0))))</f>
        <v/>
      </c>
      <c r="P33" s="7" t="inlineStr"/>
      <c r="Q33" s="11">
        <f>IF($E33="","",IFERROR(INDEX(단가설정!$B$11:$B$16,MATCH($E33,단가설정!$A$11:$A$16,0)),""))</f>
        <v/>
      </c>
      <c r="R33" s="11">
        <f>IF($E33="","",IFERROR(INDEX(단가설정!$C$11:$C$16,MATCH($E33,단가설정!$A$11:$A$16,0)),""))</f>
        <v/>
      </c>
      <c r="S33" s="11">
        <f>IF($E33="","",IFERROR(INDEX(단가설정!$D$11:$D$16,MATCH($E33,단가설정!$A$11:$A$16,0)),""))</f>
        <v/>
      </c>
    </row>
    <row r="34">
      <c r="A34" s="6" t="inlineStr">
        <is>
          <t>Y</t>
        </is>
      </c>
      <c r="B34" s="7" t="inlineStr">
        <is>
          <t>c) 공통 기능</t>
        </is>
      </c>
      <c r="C34" s="7" t="inlineStr">
        <is>
          <t>CMS/플랫폼</t>
        </is>
      </c>
      <c r="D34" s="7" t="inlineStr">
        <is>
          <t>공통 API 레이어 + 타입 공유 (Monorepo)</t>
        </is>
      </c>
      <c r="E34" s="7" t="inlineStr">
        <is>
          <t>백엔드/CMS 개발</t>
        </is>
      </c>
      <c r="F34" s="8" t="n">
        <v>4</v>
      </c>
      <c r="G34" s="9" t="n">
        <v>1600000</v>
      </c>
      <c r="H34" s="9" t="n">
        <v>2000000</v>
      </c>
      <c r="I34" s="9" t="n">
        <v>2600000</v>
      </c>
      <c r="J34" s="9" t="n"/>
      <c r="K34" s="9" t="n"/>
      <c r="L34" s="9" t="n"/>
      <c r="M34" s="10">
        <f>IF($A34&lt;&gt;"Y",0,IF($J34&lt;&gt;"",$J34,IF($Q34="",$G34,ROUND($G34*(IF($E34="","",IFERROR(INDEX(단가설정!$B$11:$B$16,MATCH($E34,단가설정!$A$11:$A$16,0)),""))/$Q34),0))))</f>
        <v/>
      </c>
      <c r="N34" s="10">
        <f>IF($A34&lt;&gt;"Y",0,IF($K34&lt;&gt;"",$K34,IF($R34="",$H34,ROUND($H34*(IF($E34="","",IFERROR(INDEX(단가설정!$C$11:$C$16,MATCH($E34,단가설정!$A$11:$A$16,0)),""))/$R34),0))))</f>
        <v/>
      </c>
      <c r="O34" s="10">
        <f>IF($A34&lt;&gt;"Y",0,IF($L34&lt;&gt;"",$L34,IF($S34="",$I34,ROUND($I34*(IF($E34="","",IFERROR(INDEX(단가설정!$D$11:$D$16,MATCH($E34,단가설정!$A$11:$A$16,0)),""))/$S34),0))))</f>
        <v/>
      </c>
      <c r="P34" s="7" t="inlineStr"/>
      <c r="Q34" s="11">
        <f>IF($E34="","",IFERROR(INDEX(단가설정!$B$11:$B$16,MATCH($E34,단가설정!$A$11:$A$16,0)),""))</f>
        <v/>
      </c>
      <c r="R34" s="11">
        <f>IF($E34="","",IFERROR(INDEX(단가설정!$C$11:$C$16,MATCH($E34,단가설정!$A$11:$A$16,0)),""))</f>
        <v/>
      </c>
      <c r="S34" s="11">
        <f>IF($E34="","",IFERROR(INDEX(단가설정!$D$11:$D$16,MATCH($E34,단가설정!$A$11:$A$16,0)),""))</f>
        <v/>
      </c>
    </row>
    <row r="35">
      <c r="A35" s="6" t="inlineStr">
        <is>
          <t>Y</t>
        </is>
      </c>
      <c r="B35" s="7" t="inlineStr">
        <is>
          <t>d) SEO/GEO 인프라</t>
        </is>
      </c>
      <c r="C35" s="7" t="inlineStr">
        <is>
          <t>SEO/GEO</t>
        </is>
      </c>
      <c r="D35" s="7" t="inlineStr">
        <is>
          <t>클린 URL 설계 + 301 리다이렉트 맵 (126페이지 전체)</t>
        </is>
      </c>
      <c r="E35" s="7" t="inlineStr">
        <is>
          <t>프론트엔드 개발</t>
        </is>
      </c>
      <c r="F35" s="8" t="inlineStr"/>
      <c r="G35" s="9" t="n">
        <v>1000000</v>
      </c>
      <c r="H35" s="9" t="n">
        <v>1500000</v>
      </c>
      <c r="I35" s="9" t="n">
        <v>2000000</v>
      </c>
      <c r="J35" s="9" t="n"/>
      <c r="K35" s="9" t="n"/>
      <c r="L35" s="9" t="n"/>
      <c r="M35" s="10">
        <f>IF($A35&lt;&gt;"Y",0,IF($J35&lt;&gt;"",$J35,IF($Q35="",$G35,ROUND($G35*(IF($E35="","",IFERROR(INDEX(단가설정!$B$11:$B$16,MATCH($E35,단가설정!$A$11:$A$16,0)),""))/$Q35),0))))</f>
        <v/>
      </c>
      <c r="N35" s="10">
        <f>IF($A35&lt;&gt;"Y",0,IF($K35&lt;&gt;"",$K35,IF($R35="",$H35,ROUND($H35*(IF($E35="","",IFERROR(INDEX(단가설정!$C$11:$C$16,MATCH($E35,단가설정!$A$11:$A$16,0)),""))/$R35),0))))</f>
        <v/>
      </c>
      <c r="O35" s="10">
        <f>IF($A35&lt;&gt;"Y",0,IF($L35&lt;&gt;"",$L35,IF($S35="",$I35,ROUND($I35*(IF($E35="","",IFERROR(INDEX(단가설정!$D$11:$D$16,MATCH($E35,단가설정!$A$11:$A$16,0)),""))/$S35),0))))</f>
        <v/>
      </c>
      <c r="P35" s="7" t="inlineStr"/>
      <c r="Q35" s="11">
        <f>IF($E35="","",IFERROR(INDEX(단가설정!$B$11:$B$16,MATCH($E35,단가설정!$A$11:$A$16,0)),""))</f>
        <v/>
      </c>
      <c r="R35" s="11">
        <f>IF($E35="","",IFERROR(INDEX(단가설정!$C$11:$C$16,MATCH($E35,단가설정!$A$11:$A$16,0)),""))</f>
        <v/>
      </c>
      <c r="S35" s="11">
        <f>IF($E35="","",IFERROR(INDEX(단가설정!$D$11:$D$16,MATCH($E35,단가설정!$A$11:$A$16,0)),""))</f>
        <v/>
      </c>
    </row>
    <row r="36">
      <c r="A36" s="6" t="inlineStr">
        <is>
          <t>Y</t>
        </is>
      </c>
      <c r="B36" s="7" t="inlineStr">
        <is>
          <t>d) SEO/GEO 인프라</t>
        </is>
      </c>
      <c r="C36" s="7" t="inlineStr">
        <is>
          <t>SEO/GEO</t>
        </is>
      </c>
      <c r="D36" s="7" t="inlineStr">
        <is>
          <t>Schema.org 구조화 데이터 (5개 사이트 × 5종 스키마)</t>
        </is>
      </c>
      <c r="E36" s="7" t="inlineStr">
        <is>
          <t>프론트엔드 개발</t>
        </is>
      </c>
      <c r="F36" s="8" t="inlineStr"/>
      <c r="G36" s="9" t="n">
        <v>2000000</v>
      </c>
      <c r="H36" s="9" t="n">
        <v>3000000</v>
      </c>
      <c r="I36" s="9" t="n">
        <v>4000000</v>
      </c>
      <c r="J36" s="9" t="n"/>
      <c r="K36" s="9" t="n"/>
      <c r="L36" s="9" t="n"/>
      <c r="M36" s="10">
        <f>IF($A36&lt;&gt;"Y",0,IF($J36&lt;&gt;"",$J36,IF($Q36="",$G36,ROUND($G36*(IF($E36="","",IFERROR(INDEX(단가설정!$B$11:$B$16,MATCH($E36,단가설정!$A$11:$A$16,0)),""))/$Q36),0))))</f>
        <v/>
      </c>
      <c r="N36" s="10">
        <f>IF($A36&lt;&gt;"Y",0,IF($K36&lt;&gt;"",$K36,IF($R36="",$H36,ROUND($H36*(IF($E36="","",IFERROR(INDEX(단가설정!$C$11:$C$16,MATCH($E36,단가설정!$A$11:$A$16,0)),""))/$R36),0))))</f>
        <v/>
      </c>
      <c r="O36" s="10">
        <f>IF($A36&lt;&gt;"Y",0,IF($L36&lt;&gt;"",$L36,IF($S36="",$I36,ROUND($I36*(IF($E36="","",IFERROR(INDEX(단가설정!$D$11:$D$16,MATCH($E36,단가설정!$A$11:$A$16,0)),""))/$S36),0))))</f>
        <v/>
      </c>
      <c r="P36" s="7" t="inlineStr"/>
      <c r="Q36" s="11">
        <f>IF($E36="","",IFERROR(INDEX(단가설정!$B$11:$B$16,MATCH($E36,단가설정!$A$11:$A$16,0)),""))</f>
        <v/>
      </c>
      <c r="R36" s="11">
        <f>IF($E36="","",IFERROR(INDEX(단가설정!$C$11:$C$16,MATCH($E36,단가설정!$A$11:$A$16,0)),""))</f>
        <v/>
      </c>
      <c r="S36" s="11">
        <f>IF($E36="","",IFERROR(INDEX(단가설정!$D$11:$D$16,MATCH($E36,단가설정!$A$11:$A$16,0)),""))</f>
        <v/>
      </c>
    </row>
    <row r="37">
      <c r="A37" s="6" t="inlineStr">
        <is>
          <t>Y</t>
        </is>
      </c>
      <c r="B37" s="7" t="inlineStr">
        <is>
          <t>d) SEO/GEO 인프라</t>
        </is>
      </c>
      <c r="C37" s="7" t="inlineStr">
        <is>
          <t>SEO/GEO</t>
        </is>
      </c>
      <c r="D37" s="7" t="inlineStr">
        <is>
          <t>페이지별 동적 메타 (title/description/OG/canonical)</t>
        </is>
      </c>
      <c r="E37" s="7" t="inlineStr">
        <is>
          <t>프론트엔드 개발</t>
        </is>
      </c>
      <c r="F37" s="8" t="inlineStr"/>
      <c r="G37" s="9" t="n">
        <v>1000000</v>
      </c>
      <c r="H37" s="9" t="n">
        <v>1500000</v>
      </c>
      <c r="I37" s="9" t="n">
        <v>2000000</v>
      </c>
      <c r="J37" s="9" t="n"/>
      <c r="K37" s="9" t="n"/>
      <c r="L37" s="9" t="n"/>
      <c r="M37" s="10">
        <f>IF($A37&lt;&gt;"Y",0,IF($J37&lt;&gt;"",$J37,IF($Q37="",$G37,ROUND($G37*(IF($E37="","",IFERROR(INDEX(단가설정!$B$11:$B$16,MATCH($E37,단가설정!$A$11:$A$16,0)),""))/$Q37),0))))</f>
        <v/>
      </c>
      <c r="N37" s="10">
        <f>IF($A37&lt;&gt;"Y",0,IF($K37&lt;&gt;"",$K37,IF($R37="",$H37,ROUND($H37*(IF($E37="","",IFERROR(INDEX(단가설정!$C$11:$C$16,MATCH($E37,단가설정!$A$11:$A$16,0)),""))/$R37),0))))</f>
        <v/>
      </c>
      <c r="O37" s="10">
        <f>IF($A37&lt;&gt;"Y",0,IF($L37&lt;&gt;"",$L37,IF($S37="",$I37,ROUND($I37*(IF($E37="","",IFERROR(INDEX(단가설정!$D$11:$D$16,MATCH($E37,단가설정!$A$11:$A$16,0)),""))/$S37),0))))</f>
        <v/>
      </c>
      <c r="P37" s="7" t="inlineStr"/>
      <c r="Q37" s="11">
        <f>IF($E37="","",IFERROR(INDEX(단가설정!$B$11:$B$16,MATCH($E37,단가설정!$A$11:$A$16,0)),""))</f>
        <v/>
      </c>
      <c r="R37" s="11">
        <f>IF($E37="","",IFERROR(INDEX(단가설정!$C$11:$C$16,MATCH($E37,단가설정!$A$11:$A$16,0)),""))</f>
        <v/>
      </c>
      <c r="S37" s="11">
        <f>IF($E37="","",IFERROR(INDEX(단가설정!$D$11:$D$16,MATCH($E37,단가설정!$A$11:$A$16,0)),""))</f>
        <v/>
      </c>
    </row>
    <row r="38">
      <c r="A38" s="6" t="inlineStr">
        <is>
          <t>Y</t>
        </is>
      </c>
      <c r="B38" s="7" t="inlineStr">
        <is>
          <t>d) SEO/GEO 인프라</t>
        </is>
      </c>
      <c r="C38" s="7" t="inlineStr">
        <is>
          <t>SEO/GEO</t>
        </is>
      </c>
      <c r="D38" s="7" t="inlineStr">
        <is>
          <t>sitemap.xml 자동 생성 + robots.txt (5개 사이트)</t>
        </is>
      </c>
      <c r="E38" s="7" t="inlineStr">
        <is>
          <t>프론트엔드 개발</t>
        </is>
      </c>
      <c r="F38" s="8" t="inlineStr"/>
      <c r="G38" s="9" t="n">
        <v>500000</v>
      </c>
      <c r="H38" s="9" t="n">
        <v>800000</v>
      </c>
      <c r="I38" s="9" t="n">
        <v>1000000</v>
      </c>
      <c r="J38" s="9" t="n"/>
      <c r="K38" s="9" t="n"/>
      <c r="L38" s="9" t="n"/>
      <c r="M38" s="10">
        <f>IF($A38&lt;&gt;"Y",0,IF($J38&lt;&gt;"",$J38,IF($Q38="",$G38,ROUND($G38*(IF($E38="","",IFERROR(INDEX(단가설정!$B$11:$B$16,MATCH($E38,단가설정!$A$11:$A$16,0)),""))/$Q38),0))))</f>
        <v/>
      </c>
      <c r="N38" s="10">
        <f>IF($A38&lt;&gt;"Y",0,IF($K38&lt;&gt;"",$K38,IF($R38="",$H38,ROUND($H38*(IF($E38="","",IFERROR(INDEX(단가설정!$C$11:$C$16,MATCH($E38,단가설정!$A$11:$A$16,0)),""))/$R38),0))))</f>
        <v/>
      </c>
      <c r="O38" s="10">
        <f>IF($A38&lt;&gt;"Y",0,IF($L38&lt;&gt;"",$L38,IF($S38="",$I38,ROUND($I38*(IF($E38="","",IFERROR(INDEX(단가설정!$D$11:$D$16,MATCH($E38,단가설정!$A$11:$A$16,0)),""))/$S38),0))))</f>
        <v/>
      </c>
      <c r="P38" s="7" t="inlineStr"/>
      <c r="Q38" s="11">
        <f>IF($E38="","",IFERROR(INDEX(단가설정!$B$11:$B$16,MATCH($E38,단가설정!$A$11:$A$16,0)),""))</f>
        <v/>
      </c>
      <c r="R38" s="11">
        <f>IF($E38="","",IFERROR(INDEX(단가설정!$C$11:$C$16,MATCH($E38,단가설정!$A$11:$A$16,0)),""))</f>
        <v/>
      </c>
      <c r="S38" s="11">
        <f>IF($E38="","",IFERROR(INDEX(단가설정!$D$11:$D$16,MATCH($E38,단가설정!$A$11:$A$16,0)),""))</f>
        <v/>
      </c>
    </row>
    <row r="39">
      <c r="A39" s="6" t="inlineStr">
        <is>
          <t>Y</t>
        </is>
      </c>
      <c r="B39" s="7" t="inlineStr">
        <is>
          <t>d) SEO/GEO 인프라</t>
        </is>
      </c>
      <c r="C39" s="7" t="inlineStr">
        <is>
          <t>SEO/GEO</t>
        </is>
      </c>
      <c r="D39" s="7" t="inlineStr">
        <is>
          <t>llms.txt 작성 (5개 사이트)</t>
        </is>
      </c>
      <c r="E39" s="7" t="inlineStr">
        <is>
          <t>프론트엔드 개발</t>
        </is>
      </c>
      <c r="F39" s="8" t="inlineStr"/>
      <c r="G39" s="9" t="n">
        <v>500000</v>
      </c>
      <c r="H39" s="9" t="n">
        <v>800000</v>
      </c>
      <c r="I39" s="9" t="n">
        <v>1000000</v>
      </c>
      <c r="J39" s="9" t="n"/>
      <c r="K39" s="9" t="n"/>
      <c r="L39" s="9" t="n"/>
      <c r="M39" s="10">
        <f>IF($A39&lt;&gt;"Y",0,IF($J39&lt;&gt;"",$J39,IF($Q39="",$G39,ROUND($G39*(IF($E39="","",IFERROR(INDEX(단가설정!$B$11:$B$16,MATCH($E39,단가설정!$A$11:$A$16,0)),""))/$Q39),0))))</f>
        <v/>
      </c>
      <c r="N39" s="10">
        <f>IF($A39&lt;&gt;"Y",0,IF($K39&lt;&gt;"",$K39,IF($R39="",$H39,ROUND($H39*(IF($E39="","",IFERROR(INDEX(단가설정!$C$11:$C$16,MATCH($E39,단가설정!$A$11:$A$16,0)),""))/$R39),0))))</f>
        <v/>
      </c>
      <c r="O39" s="10">
        <f>IF($A39&lt;&gt;"Y",0,IF($L39&lt;&gt;"",$L39,IF($S39="",$I39,ROUND($I39*(IF($E39="","",IFERROR(INDEX(단가설정!$D$11:$D$16,MATCH($E39,단가설정!$A$11:$A$16,0)),""))/$S39),0))))</f>
        <v/>
      </c>
      <c r="P39" s="7" t="inlineStr"/>
      <c r="Q39" s="11">
        <f>IF($E39="","",IFERROR(INDEX(단가설정!$B$11:$B$16,MATCH($E39,단가설정!$A$11:$A$16,0)),""))</f>
        <v/>
      </c>
      <c r="R39" s="11">
        <f>IF($E39="","",IFERROR(INDEX(단가설정!$C$11:$C$16,MATCH($E39,단가설정!$A$11:$A$16,0)),""))</f>
        <v/>
      </c>
      <c r="S39" s="11">
        <f>IF($E39="","",IFERROR(INDEX(단가설정!$D$11:$D$16,MATCH($E39,단가설정!$A$11:$A$16,0)),""))</f>
        <v/>
      </c>
    </row>
    <row r="40">
      <c r="A40" s="6" t="inlineStr">
        <is>
          <t>Y</t>
        </is>
      </c>
      <c r="B40" s="7" t="inlineStr">
        <is>
          <t>d) SEO/GEO 인프라</t>
        </is>
      </c>
      <c r="C40" s="7" t="inlineStr">
        <is>
          <t>SEO/GEO</t>
        </is>
      </c>
      <c r="D40" s="7" t="inlineStr">
        <is>
          <t>Core Web Vitals 최적화 (LCP/CLS/INP)</t>
        </is>
      </c>
      <c r="E40" s="7" t="inlineStr">
        <is>
          <t>프론트엔드 개발</t>
        </is>
      </c>
      <c r="F40" s="8" t="inlineStr"/>
      <c r="G40" s="9" t="n">
        <v>1000000</v>
      </c>
      <c r="H40" s="9" t="n">
        <v>1500000</v>
      </c>
      <c r="I40" s="9" t="n">
        <v>2000000</v>
      </c>
      <c r="J40" s="9" t="n"/>
      <c r="K40" s="9" t="n"/>
      <c r="L40" s="9" t="n"/>
      <c r="M40" s="10">
        <f>IF($A40&lt;&gt;"Y",0,IF($J40&lt;&gt;"",$J40,IF($Q40="",$G40,ROUND($G40*(IF($E40="","",IFERROR(INDEX(단가설정!$B$11:$B$16,MATCH($E40,단가설정!$A$11:$A$16,0)),""))/$Q40),0))))</f>
        <v/>
      </c>
      <c r="N40" s="10">
        <f>IF($A40&lt;&gt;"Y",0,IF($K40&lt;&gt;"",$K40,IF($R40="",$H40,ROUND($H40*(IF($E40="","",IFERROR(INDEX(단가설정!$C$11:$C$16,MATCH($E40,단가설정!$A$11:$A$16,0)),""))/$R40),0))))</f>
        <v/>
      </c>
      <c r="O40" s="10">
        <f>IF($A40&lt;&gt;"Y",0,IF($L40&lt;&gt;"",$L40,IF($S40="",$I40,ROUND($I40*(IF($E40="","",IFERROR(INDEX(단가설정!$D$11:$D$16,MATCH($E40,단가설정!$A$11:$A$16,0)),""))/$S40),0))))</f>
        <v/>
      </c>
      <c r="P40" s="7" t="inlineStr"/>
      <c r="Q40" s="11">
        <f>IF($E40="","",IFERROR(INDEX(단가설정!$B$11:$B$16,MATCH($E40,단가설정!$A$11:$A$16,0)),""))</f>
        <v/>
      </c>
      <c r="R40" s="11">
        <f>IF($E40="","",IFERROR(INDEX(단가설정!$C$11:$C$16,MATCH($E40,단가설정!$A$11:$A$16,0)),""))</f>
        <v/>
      </c>
      <c r="S40" s="11">
        <f>IF($E40="","",IFERROR(INDEX(단가설정!$D$11:$D$16,MATCH($E40,단가설정!$A$11:$A$16,0)),""))</f>
        <v/>
      </c>
    </row>
    <row r="41">
      <c r="A41" s="6" t="inlineStr">
        <is>
          <t>Y</t>
        </is>
      </c>
      <c r="B41" s="7" t="inlineStr">
        <is>
          <t>d) SEO/GEO 인프라</t>
        </is>
      </c>
      <c r="C41" s="7" t="inlineStr">
        <is>
          <t>SEO/GEO</t>
        </is>
      </c>
      <c r="D41" s="7" t="inlineStr">
        <is>
          <t>Google Search Console + 사이트맵 제출 (5개)</t>
        </is>
      </c>
      <c r="E41" s="7" t="inlineStr">
        <is>
          <t>PM</t>
        </is>
      </c>
      <c r="F41" s="8" t="inlineStr"/>
      <c r="G41" s="9" t="n">
        <v>500000</v>
      </c>
      <c r="H41" s="9" t="n">
        <v>800000</v>
      </c>
      <c r="I41" s="9" t="n">
        <v>1000000</v>
      </c>
      <c r="J41" s="9" t="n"/>
      <c r="K41" s="9" t="n"/>
      <c r="L41" s="9" t="n"/>
      <c r="M41" s="10">
        <f>IF($A41&lt;&gt;"Y",0,IF($J41&lt;&gt;"",$J41,IF($Q41="",$G41,ROUND($G41*(IF($E41="","",IFERROR(INDEX(단가설정!$B$11:$B$16,MATCH($E41,단가설정!$A$11:$A$16,0)),""))/$Q41),0))))</f>
        <v/>
      </c>
      <c r="N41" s="10">
        <f>IF($A41&lt;&gt;"Y",0,IF($K41&lt;&gt;"",$K41,IF($R41="",$H41,ROUND($H41*(IF($E41="","",IFERROR(INDEX(단가설정!$C$11:$C$16,MATCH($E41,단가설정!$A$11:$A$16,0)),""))/$R41),0))))</f>
        <v/>
      </c>
      <c r="O41" s="10">
        <f>IF($A41&lt;&gt;"Y",0,IF($L41&lt;&gt;"",$L41,IF($S41="",$I41,ROUND($I41*(IF($E41="","",IFERROR(INDEX(단가설정!$D$11:$D$16,MATCH($E41,단가설정!$A$11:$A$16,0)),""))/$S41),0))))</f>
        <v/>
      </c>
      <c r="P41" s="7" t="inlineStr"/>
      <c r="Q41" s="11">
        <f>IF($E41="","",IFERROR(INDEX(단가설정!$B$11:$B$16,MATCH($E41,단가설정!$A$11:$A$16,0)),""))</f>
        <v/>
      </c>
      <c r="R41" s="11">
        <f>IF($E41="","",IFERROR(INDEX(단가설정!$C$11:$C$16,MATCH($E41,단가설정!$A$11:$A$16,0)),""))</f>
        <v/>
      </c>
      <c r="S41" s="11">
        <f>IF($E41="","",IFERROR(INDEX(단가설정!$D$11:$D$16,MATCH($E41,단가설정!$A$11:$A$16,0)),""))</f>
        <v/>
      </c>
    </row>
    <row r="42">
      <c r="A42" s="6" t="inlineStr">
        <is>
          <t>Y</t>
        </is>
      </c>
      <c r="B42" s="7" t="inlineStr">
        <is>
          <t>e) 에비뉴센터 별도</t>
        </is>
      </c>
      <c r="C42" s="7" t="inlineStr">
        <is>
          <t>에비뉴센터</t>
        </is>
      </c>
      <c r="D42" s="7" t="inlineStr">
        <is>
          <t>SSL 인증서 갱신 + 서버 정비</t>
        </is>
      </c>
      <c r="E42" s="7" t="inlineStr">
        <is>
          <t>백엔드/CMS 개발</t>
        </is>
      </c>
      <c r="F42" s="8" t="inlineStr"/>
      <c r="G42" s="9" t="n">
        <v>300000</v>
      </c>
      <c r="H42" s="9" t="n">
        <v>500000</v>
      </c>
      <c r="I42" s="9" t="n">
        <v>500000</v>
      </c>
      <c r="J42" s="9" t="n"/>
      <c r="K42" s="9" t="n"/>
      <c r="L42" s="9" t="n"/>
      <c r="M42" s="10">
        <f>IF($A42&lt;&gt;"Y",0,IF($J42&lt;&gt;"",$J42,IF($Q42="",$G42,ROUND($G42*(IF($E42="","",IFERROR(INDEX(단가설정!$B$11:$B$16,MATCH($E42,단가설정!$A$11:$A$16,0)),""))/$Q42),0))))</f>
        <v/>
      </c>
      <c r="N42" s="10">
        <f>IF($A42&lt;&gt;"Y",0,IF($K42&lt;&gt;"",$K42,IF($R42="",$H42,ROUND($H42*(IF($E42="","",IFERROR(INDEX(단가설정!$C$11:$C$16,MATCH($E42,단가설정!$A$11:$A$16,0)),""))/$R42),0))))</f>
        <v/>
      </c>
      <c r="O42" s="10">
        <f>IF($A42&lt;&gt;"Y",0,IF($L42&lt;&gt;"",$L42,IF($S42="",$I42,ROUND($I42*(IF($E42="","",IFERROR(INDEX(단가설정!$D$11:$D$16,MATCH($E42,단가설정!$A$11:$A$16,0)),""))/$S42),0))))</f>
        <v/>
      </c>
      <c r="P42" s="7" t="inlineStr"/>
      <c r="Q42" s="11">
        <f>IF($E42="","",IFERROR(INDEX(단가설정!$B$11:$B$16,MATCH($E42,단가설정!$A$11:$A$16,0)),""))</f>
        <v/>
      </c>
      <c r="R42" s="11">
        <f>IF($E42="","",IFERROR(INDEX(단가설정!$C$11:$C$16,MATCH($E42,단가설정!$A$11:$A$16,0)),""))</f>
        <v/>
      </c>
      <c r="S42" s="11">
        <f>IF($E42="","",IFERROR(INDEX(단가설정!$D$11:$D$16,MATCH($E42,단가설정!$A$11:$A$16,0)),""))</f>
        <v/>
      </c>
    </row>
    <row r="43">
      <c r="A43" s="6" t="inlineStr">
        <is>
          <t>Y</t>
        </is>
      </c>
      <c r="B43" s="7" t="inlineStr">
        <is>
          <t>e) 에비뉴센터 별도</t>
        </is>
      </c>
      <c r="C43" s="7" t="inlineStr">
        <is>
          <t>에비뉴센터</t>
        </is>
      </c>
      <c r="D43" s="7" t="inlineStr">
        <is>
          <t>원페이지 랜딩 디자인 (PC+Mobile, 4섹션)</t>
        </is>
      </c>
      <c r="E43" s="7" t="inlineStr">
        <is>
          <t>UI 디자이너</t>
        </is>
      </c>
      <c r="F43" s="8" t="inlineStr"/>
      <c r="G43" s="9" t="n">
        <v>1500000</v>
      </c>
      <c r="H43" s="9" t="n">
        <v>2500000</v>
      </c>
      <c r="I43" s="9" t="n">
        <v>3500000</v>
      </c>
      <c r="J43" s="9" t="n"/>
      <c r="K43" s="9" t="n"/>
      <c r="L43" s="9" t="n"/>
      <c r="M43" s="10">
        <f>IF($A43&lt;&gt;"Y",0,IF($J43&lt;&gt;"",$J43,IF($Q43="",$G43,ROUND($G43*(IF($E43="","",IFERROR(INDEX(단가설정!$B$11:$B$16,MATCH($E43,단가설정!$A$11:$A$16,0)),""))/$Q43),0))))</f>
        <v/>
      </c>
      <c r="N43" s="10">
        <f>IF($A43&lt;&gt;"Y",0,IF($K43&lt;&gt;"",$K43,IF($R43="",$H43,ROUND($H43*(IF($E43="","",IFERROR(INDEX(단가설정!$C$11:$C$16,MATCH($E43,단가설정!$A$11:$A$16,0)),""))/$R43),0))))</f>
        <v/>
      </c>
      <c r="O43" s="10">
        <f>IF($A43&lt;&gt;"Y",0,IF($L43&lt;&gt;"",$L43,IF($S43="",$I43,ROUND($I43*(IF($E43="","",IFERROR(INDEX(단가설정!$D$11:$D$16,MATCH($E43,단가설정!$A$11:$A$16,0)),""))/$S43),0))))</f>
        <v/>
      </c>
      <c r="P43" s="7" t="inlineStr"/>
      <c r="Q43" s="11">
        <f>IF($E43="","",IFERROR(INDEX(단가설정!$B$11:$B$16,MATCH($E43,단가설정!$A$11:$A$16,0)),""))</f>
        <v/>
      </c>
      <c r="R43" s="11">
        <f>IF($E43="","",IFERROR(INDEX(단가설정!$C$11:$C$16,MATCH($E43,단가설정!$A$11:$A$16,0)),""))</f>
        <v/>
      </c>
      <c r="S43" s="11">
        <f>IF($E43="","",IFERROR(INDEX(단가설정!$D$11:$D$16,MATCH($E43,단가설정!$A$11:$A$16,0)),""))</f>
        <v/>
      </c>
    </row>
    <row r="44">
      <c r="A44" s="6" t="inlineStr">
        <is>
          <t>Y</t>
        </is>
      </c>
      <c r="B44" s="7" t="inlineStr">
        <is>
          <t>e) 에비뉴센터 별도</t>
        </is>
      </c>
      <c r="C44" s="7" t="inlineStr">
        <is>
          <t>에비뉴센터</t>
        </is>
      </c>
      <c r="D44" s="7" t="inlineStr">
        <is>
          <t>서브페이지 4종 디자인 (FAQ, 강사, 수강안내, 상담)</t>
        </is>
      </c>
      <c r="E44" s="7" t="inlineStr">
        <is>
          <t>UI 디자이너</t>
        </is>
      </c>
      <c r="F44" s="8" t="inlineStr"/>
      <c r="G44" s="9" t="n">
        <v>1200000</v>
      </c>
      <c r="H44" s="9" t="n">
        <v>1600000</v>
      </c>
      <c r="I44" s="9" t="n">
        <v>2200000</v>
      </c>
      <c r="J44" s="9" t="n"/>
      <c r="K44" s="9" t="n"/>
      <c r="L44" s="9" t="n"/>
      <c r="M44" s="10">
        <f>IF($A44&lt;&gt;"Y",0,IF($J44&lt;&gt;"",$J44,IF($Q44="",$G44,ROUND($G44*(IF($E44="","",IFERROR(INDEX(단가설정!$B$11:$B$16,MATCH($E44,단가설정!$A$11:$A$16,0)),""))/$Q44),0))))</f>
        <v/>
      </c>
      <c r="N44" s="10">
        <f>IF($A44&lt;&gt;"Y",0,IF($K44&lt;&gt;"",$K44,IF($R44="",$H44,ROUND($H44*(IF($E44="","",IFERROR(INDEX(단가설정!$C$11:$C$16,MATCH($E44,단가설정!$A$11:$A$16,0)),""))/$R44),0))))</f>
        <v/>
      </c>
      <c r="O44" s="10">
        <f>IF($A44&lt;&gt;"Y",0,IF($L44&lt;&gt;"",$L44,IF($S44="",$I44,ROUND($I44*(IF($E44="","",IFERROR(INDEX(단가설정!$D$11:$D$16,MATCH($E44,단가설정!$A$11:$A$16,0)),""))/$S44),0))))</f>
        <v/>
      </c>
      <c r="P44" s="7" t="inlineStr"/>
      <c r="Q44" s="11">
        <f>IF($E44="","",IFERROR(INDEX(단가설정!$B$11:$B$16,MATCH($E44,단가설정!$A$11:$A$16,0)),""))</f>
        <v/>
      </c>
      <c r="R44" s="11">
        <f>IF($E44="","",IFERROR(INDEX(단가설정!$C$11:$C$16,MATCH($E44,단가설정!$A$11:$A$16,0)),""))</f>
        <v/>
      </c>
      <c r="S44" s="11">
        <f>IF($E44="","",IFERROR(INDEX(단가설정!$D$11:$D$16,MATCH($E44,단가설정!$A$11:$A$16,0)),""))</f>
        <v/>
      </c>
    </row>
    <row r="45">
      <c r="A45" s="6" t="inlineStr">
        <is>
          <t>Y</t>
        </is>
      </c>
      <c r="B45" s="7" t="inlineStr">
        <is>
          <t>e) 에비뉴센터 별도</t>
        </is>
      </c>
      <c r="C45" s="7" t="inlineStr">
        <is>
          <t>에비뉴센터</t>
        </is>
      </c>
      <c r="D45" s="7" t="inlineStr">
        <is>
          <t>프론트엔드 개발 (랜딩 + 서브 4종)</t>
        </is>
      </c>
      <c r="E45" s="7" t="inlineStr">
        <is>
          <t>프론트엔드 개발</t>
        </is>
      </c>
      <c r="F45" s="8" t="inlineStr"/>
      <c r="G45" s="9" t="n">
        <v>2000000</v>
      </c>
      <c r="H45" s="9" t="n">
        <v>3000000</v>
      </c>
      <c r="I45" s="9" t="n">
        <v>4000000</v>
      </c>
      <c r="J45" s="9" t="n"/>
      <c r="K45" s="9" t="n"/>
      <c r="L45" s="9" t="n"/>
      <c r="M45" s="10">
        <f>IF($A45&lt;&gt;"Y",0,IF($J45&lt;&gt;"",$J45,IF($Q45="",$G45,ROUND($G45*(IF($E45="","",IFERROR(INDEX(단가설정!$B$11:$B$16,MATCH($E45,단가설정!$A$11:$A$16,0)),""))/$Q45),0))))</f>
        <v/>
      </c>
      <c r="N45" s="10">
        <f>IF($A45&lt;&gt;"Y",0,IF($K45&lt;&gt;"",$K45,IF($R45="",$H45,ROUND($H45*(IF($E45="","",IFERROR(INDEX(단가설정!$C$11:$C$16,MATCH($E45,단가설정!$A$11:$A$16,0)),""))/$R45),0))))</f>
        <v/>
      </c>
      <c r="O45" s="10">
        <f>IF($A45&lt;&gt;"Y",0,IF($L45&lt;&gt;"",$L45,IF($S45="",$I45,ROUND($I45*(IF($E45="","",IFERROR(INDEX(단가설정!$D$11:$D$16,MATCH($E45,단가설정!$A$11:$A$16,0)),""))/$S45),0))))</f>
        <v/>
      </c>
      <c r="P45" s="7" t="inlineStr"/>
      <c r="Q45" s="11">
        <f>IF($E45="","",IFERROR(INDEX(단가설정!$B$11:$B$16,MATCH($E45,단가설정!$A$11:$A$16,0)),""))</f>
        <v/>
      </c>
      <c r="R45" s="11">
        <f>IF($E45="","",IFERROR(INDEX(단가설정!$C$11:$C$16,MATCH($E45,단가설정!$A$11:$A$16,0)),""))</f>
        <v/>
      </c>
      <c r="S45" s="11">
        <f>IF($E45="","",IFERROR(INDEX(단가설정!$D$11:$D$16,MATCH($E45,단가설정!$A$11:$A$16,0)),""))</f>
        <v/>
      </c>
    </row>
    <row r="46">
      <c r="A46" s="6" t="inlineStr">
        <is>
          <t>Y</t>
        </is>
      </c>
      <c r="B46" s="7" t="inlineStr">
        <is>
          <t>e) 에비뉴센터 별도</t>
        </is>
      </c>
      <c r="C46" s="7" t="inlineStr">
        <is>
          <t>에비뉴센터</t>
        </is>
      </c>
      <c r="D46" s="7" t="inlineStr">
        <is>
          <t>SEO/GEO 기본 셋업</t>
        </is>
      </c>
      <c r="E46" s="7" t="inlineStr">
        <is>
          <t>프론트엔드 개발</t>
        </is>
      </c>
      <c r="F46" s="8" t="inlineStr"/>
      <c r="G46" s="9" t="n">
        <v>1000000</v>
      </c>
      <c r="H46" s="9" t="n">
        <v>1500000</v>
      </c>
      <c r="I46" s="9" t="n">
        <v>2000000</v>
      </c>
      <c r="J46" s="9" t="n"/>
      <c r="K46" s="9" t="n"/>
      <c r="L46" s="9" t="n"/>
      <c r="M46" s="10">
        <f>IF($A46&lt;&gt;"Y",0,IF($J46&lt;&gt;"",$J46,IF($Q46="",$G46,ROUND($G46*(IF($E46="","",IFERROR(INDEX(단가설정!$B$11:$B$16,MATCH($E46,단가설정!$A$11:$A$16,0)),""))/$Q46),0))))</f>
        <v/>
      </c>
      <c r="N46" s="10">
        <f>IF($A46&lt;&gt;"Y",0,IF($K46&lt;&gt;"",$K46,IF($R46="",$H46,ROUND($H46*(IF($E46="","",IFERROR(INDEX(단가설정!$C$11:$C$16,MATCH($E46,단가설정!$A$11:$A$16,0)),""))/$R46),0))))</f>
        <v/>
      </c>
      <c r="O46" s="10">
        <f>IF($A46&lt;&gt;"Y",0,IF($L46&lt;&gt;"",$L46,IF($S46="",$I46,ROUND($I46*(IF($E46="","",IFERROR(INDEX(단가설정!$D$11:$D$16,MATCH($E46,단가설정!$A$11:$A$16,0)),""))/$S46),0))))</f>
        <v/>
      </c>
      <c r="P46" s="7" t="inlineStr"/>
      <c r="Q46" s="11">
        <f>IF($E46="","",IFERROR(INDEX(단가설정!$B$11:$B$16,MATCH($E46,단가설정!$A$11:$A$16,0)),""))</f>
        <v/>
      </c>
      <c r="R46" s="11">
        <f>IF($E46="","",IFERROR(INDEX(단가설정!$C$11:$C$16,MATCH($E46,단가설정!$A$11:$A$16,0)),""))</f>
        <v/>
      </c>
      <c r="S46" s="11">
        <f>IF($E46="","",IFERROR(INDEX(단가설정!$D$11:$D$16,MATCH($E46,단가설정!$A$11:$A$16,0)),""))</f>
        <v/>
      </c>
    </row>
    <row r="47">
      <c r="A47" s="6" t="inlineStr">
        <is>
          <t>Y</t>
        </is>
      </c>
      <c r="B47" s="7" t="inlineStr">
        <is>
          <t>f) 기타</t>
        </is>
      </c>
      <c r="C47" s="7" t="inlineStr">
        <is>
          <t>기타</t>
        </is>
      </c>
      <c r="D47" s="7" t="inlineStr">
        <is>
          <t>프로젝트 관리 (PM, 회의, 보고)</t>
        </is>
      </c>
      <c r="E47" s="7" t="inlineStr">
        <is>
          <t>PM</t>
        </is>
      </c>
      <c r="F47" s="8" t="inlineStr"/>
      <c r="G47" s="9" t="n">
        <v>1500000</v>
      </c>
      <c r="H47" s="9" t="n">
        <v>2500000</v>
      </c>
      <c r="I47" s="9" t="n">
        <v>3500000</v>
      </c>
      <c r="J47" s="9" t="n"/>
      <c r="K47" s="9" t="n"/>
      <c r="L47" s="9" t="n"/>
      <c r="M47" s="10">
        <f>IF($A47&lt;&gt;"Y",0,IF($J47&lt;&gt;"",$J47,IF($Q47="",$G47,ROUND($G47*(IF($E47="","",IFERROR(INDEX(단가설정!$B$11:$B$16,MATCH($E47,단가설정!$A$11:$A$16,0)),""))/$Q47),0))))</f>
        <v/>
      </c>
      <c r="N47" s="10">
        <f>IF($A47&lt;&gt;"Y",0,IF($K47&lt;&gt;"",$K47,IF($R47="",$H47,ROUND($H47*(IF($E47="","",IFERROR(INDEX(단가설정!$C$11:$C$16,MATCH($E47,단가설정!$A$11:$A$16,0)),""))/$R47),0))))</f>
        <v/>
      </c>
      <c r="O47" s="10">
        <f>IF($A47&lt;&gt;"Y",0,IF($L47&lt;&gt;"",$L47,IF($S47="",$I47,ROUND($I47*(IF($E47="","",IFERROR(INDEX(단가설정!$D$11:$D$16,MATCH($E47,단가설정!$A$11:$A$16,0)),""))/$S47),0))))</f>
        <v/>
      </c>
      <c r="P47" s="7" t="inlineStr"/>
      <c r="Q47" s="11">
        <f>IF($E47="","",IFERROR(INDEX(단가설정!$B$11:$B$16,MATCH($E47,단가설정!$A$11:$A$16,0)),""))</f>
        <v/>
      </c>
      <c r="R47" s="11">
        <f>IF($E47="","",IFERROR(INDEX(단가설정!$C$11:$C$16,MATCH($E47,단가설정!$A$11:$A$16,0)),""))</f>
        <v/>
      </c>
      <c r="S47" s="11">
        <f>IF($E47="","",IFERROR(INDEX(단가설정!$D$11:$D$16,MATCH($E47,단가설정!$A$11:$A$16,0)),""))</f>
        <v/>
      </c>
    </row>
    <row r="48">
      <c r="A48" s="6" t="inlineStr">
        <is>
          <t>Y</t>
        </is>
      </c>
      <c r="B48" s="7" t="inlineStr">
        <is>
          <t>f) 기타</t>
        </is>
      </c>
      <c r="C48" s="7" t="inlineStr">
        <is>
          <t>기타</t>
        </is>
      </c>
      <c r="D48" s="7" t="inlineStr">
        <is>
          <t>QA 및 테스팅 (5개 사이트 × 크로스브라우저)</t>
        </is>
      </c>
      <c r="E48" s="7" t="inlineStr">
        <is>
          <t>QA</t>
        </is>
      </c>
      <c r="F48" s="8" t="inlineStr"/>
      <c r="G48" s="9" t="n">
        <v>2500000</v>
      </c>
      <c r="H48" s="9" t="n">
        <v>3500000</v>
      </c>
      <c r="I48" s="9" t="n">
        <v>4500000</v>
      </c>
      <c r="J48" s="9" t="n"/>
      <c r="K48" s="9" t="n"/>
      <c r="L48" s="9" t="n"/>
      <c r="M48" s="10">
        <f>IF($A48&lt;&gt;"Y",0,IF($J48&lt;&gt;"",$J48,IF($Q48="",$G48,ROUND($G48*(IF($E48="","",IFERROR(INDEX(단가설정!$B$11:$B$16,MATCH($E48,단가설정!$A$11:$A$16,0)),""))/$Q48),0))))</f>
        <v/>
      </c>
      <c r="N48" s="10">
        <f>IF($A48&lt;&gt;"Y",0,IF($K48&lt;&gt;"",$K48,IF($R48="",$H48,ROUND($H48*(IF($E48="","",IFERROR(INDEX(단가설정!$C$11:$C$16,MATCH($E48,단가설정!$A$11:$A$16,0)),""))/$R48),0))))</f>
        <v/>
      </c>
      <c r="O48" s="10">
        <f>IF($A48&lt;&gt;"Y",0,IF($L48&lt;&gt;"",$L48,IF($S48="",$I48,ROUND($I48*(IF($E48="","",IFERROR(INDEX(단가설정!$D$11:$D$16,MATCH($E48,단가설정!$A$11:$A$16,0)),""))/$S48),0))))</f>
        <v/>
      </c>
      <c r="P48" s="7" t="inlineStr"/>
      <c r="Q48" s="11">
        <f>IF($E48="","",IFERROR(INDEX(단가설정!$B$11:$B$16,MATCH($E48,단가설정!$A$11:$A$16,0)),""))</f>
        <v/>
      </c>
      <c r="R48" s="11">
        <f>IF($E48="","",IFERROR(INDEX(단가설정!$C$11:$C$16,MATCH($E48,단가설정!$A$11:$A$16,0)),""))</f>
        <v/>
      </c>
      <c r="S48" s="11">
        <f>IF($E48="","",IFERROR(INDEX(단가설정!$D$11:$D$16,MATCH($E48,단가설정!$A$11:$A$16,0)),""))</f>
        <v/>
      </c>
    </row>
    <row r="49">
      <c r="A49" s="6" t="inlineStr">
        <is>
          <t>Y</t>
        </is>
      </c>
      <c r="B49" s="7" t="inlineStr">
        <is>
          <t>f) 기타</t>
        </is>
      </c>
      <c r="C49" s="7" t="inlineStr">
        <is>
          <t>기타</t>
        </is>
      </c>
      <c r="D49" s="7" t="inlineStr">
        <is>
          <t>호스팅/인프라 셋업 (Vercel 또는 자체 서버)</t>
        </is>
      </c>
      <c r="E49" s="7" t="inlineStr">
        <is>
          <t>백엔드/CMS 개발</t>
        </is>
      </c>
      <c r="F49" s="8" t="inlineStr"/>
      <c r="G49" s="9" t="n">
        <v>500000</v>
      </c>
      <c r="H49" s="9" t="n">
        <v>1000000</v>
      </c>
      <c r="I49" s="9" t="n">
        <v>1500000</v>
      </c>
      <c r="J49" s="9" t="n"/>
      <c r="K49" s="9" t="n"/>
      <c r="L49" s="9" t="n"/>
      <c r="M49" s="10">
        <f>IF($A49&lt;&gt;"Y",0,IF($J49&lt;&gt;"",$J49,IF($Q49="",$G49,ROUND($G49*(IF($E49="","",IFERROR(INDEX(단가설정!$B$11:$B$16,MATCH($E49,단가설정!$A$11:$A$16,0)),""))/$Q49),0))))</f>
        <v/>
      </c>
      <c r="N49" s="10">
        <f>IF($A49&lt;&gt;"Y",0,IF($K49&lt;&gt;"",$K49,IF($R49="",$H49,ROUND($H49*(IF($E49="","",IFERROR(INDEX(단가설정!$C$11:$C$16,MATCH($E49,단가설정!$A$11:$A$16,0)),""))/$R49),0))))</f>
        <v/>
      </c>
      <c r="O49" s="10">
        <f>IF($A49&lt;&gt;"Y",0,IF($L49&lt;&gt;"",$L49,IF($S49="",$I49,ROUND($I49*(IF($E49="","",IFERROR(INDEX(단가설정!$D$11:$D$16,MATCH($E49,단가설정!$A$11:$A$16,0)),""))/$S49),0))))</f>
        <v/>
      </c>
      <c r="P49" s="7" t="inlineStr"/>
      <c r="Q49" s="11">
        <f>IF($E49="","",IFERROR(INDEX(단가설정!$B$11:$B$16,MATCH($E49,단가설정!$A$11:$A$16,0)),""))</f>
        <v/>
      </c>
      <c r="R49" s="11">
        <f>IF($E49="","",IFERROR(INDEX(단가설정!$C$11:$C$16,MATCH($E49,단가설정!$A$11:$A$16,0)),""))</f>
        <v/>
      </c>
      <c r="S49" s="11">
        <f>IF($E49="","",IFERROR(INDEX(단가설정!$D$11:$D$16,MATCH($E49,단가설정!$A$11:$A$16,0)),""))</f>
        <v/>
      </c>
    </row>
    <row r="50">
      <c r="A50" s="6" t="inlineStr">
        <is>
          <t>Y</t>
        </is>
      </c>
      <c r="B50" s="7" t="inlineStr">
        <is>
          <t>f) 기타</t>
        </is>
      </c>
      <c r="C50" s="7" t="inlineStr">
        <is>
          <t>기타</t>
        </is>
      </c>
      <c r="D50" s="7" t="inlineStr">
        <is>
          <t>호스팅 연간 운영비</t>
        </is>
      </c>
      <c r="E50" s="7" t="inlineStr"/>
      <c r="F50" s="8" t="inlineStr"/>
      <c r="G50" s="9" t="n">
        <v>1200000</v>
      </c>
      <c r="H50" s="9" t="n">
        <v>2400000</v>
      </c>
      <c r="I50" s="9" t="n">
        <v>3600000</v>
      </c>
      <c r="J50" s="9" t="n"/>
      <c r="K50" s="9" t="n"/>
      <c r="L50" s="9" t="n"/>
      <c r="M50" s="10">
        <f>IF($A50&lt;&gt;"Y",0,IF($J50&lt;&gt;"",$J50,IF($Q50="",$G50,ROUND($G50*(IF($E50="","",IFERROR(INDEX(단가설정!$B$11:$B$16,MATCH($E50,단가설정!$A$11:$A$16,0)),""))/$Q50),0))))</f>
        <v/>
      </c>
      <c r="N50" s="10">
        <f>IF($A50&lt;&gt;"Y",0,IF($K50&lt;&gt;"",$K50,IF($R50="",$H50,ROUND($H50*(IF($E50="","",IFERROR(INDEX(단가설정!$C$11:$C$16,MATCH($E50,단가설정!$A$11:$A$16,0)),""))/$R50),0))))</f>
        <v/>
      </c>
      <c r="O50" s="10">
        <f>IF($A50&lt;&gt;"Y",0,IF($L50&lt;&gt;"",$L50,IF($S50="",$I50,ROUND($I50*(IF($E50="","",IFERROR(INDEX(단가설정!$D$11:$D$16,MATCH($E50,단가설정!$A$11:$A$16,0)),""))/$S50),0))))</f>
        <v/>
      </c>
      <c r="P50" s="7" t="inlineStr">
        <is>
          <t>직군 단가 비연동</t>
        </is>
      </c>
      <c r="Q50" s="11">
        <f>IF($E50="","",IFERROR(INDEX(단가설정!$B$11:$B$16,MATCH($E50,단가설정!$A$11:$A$16,0)),""))</f>
        <v/>
      </c>
      <c r="R50" s="11">
        <f>IF($E50="","",IFERROR(INDEX(단가설정!$C$11:$C$16,MATCH($E50,단가설정!$A$11:$A$16,0)),""))</f>
        <v/>
      </c>
      <c r="S50" s="11">
        <f>IF($E50="","",IFERROR(INDEX(단가설정!$D$11:$D$16,MATCH($E50,단가설정!$A$11:$A$16,0)),""))</f>
        <v/>
      </c>
    </row>
    <row r="51">
      <c r="A51" s="6" t="inlineStr">
        <is>
          <t>Y</t>
        </is>
      </c>
      <c r="B51" s="7" t="inlineStr">
        <is>
          <t>f) 기타</t>
        </is>
      </c>
      <c r="C51" s="7" t="inlineStr">
        <is>
          <t>기타</t>
        </is>
      </c>
      <c r="D51" s="7" t="inlineStr">
        <is>
          <t>콘텐츠 입력 지원 + 데이터 정리</t>
        </is>
      </c>
      <c r="E51" s="7" t="inlineStr">
        <is>
          <t>PM</t>
        </is>
      </c>
      <c r="F51" s="8" t="inlineStr"/>
      <c r="G51" s="9" t="n">
        <v>1000000</v>
      </c>
      <c r="H51" s="9" t="n">
        <v>2000000</v>
      </c>
      <c r="I51" s="9" t="n">
        <v>3000000</v>
      </c>
      <c r="J51" s="9" t="n"/>
      <c r="K51" s="9" t="n"/>
      <c r="L51" s="9" t="n"/>
      <c r="M51" s="10">
        <f>IF($A51&lt;&gt;"Y",0,IF($J51&lt;&gt;"",$J51,IF($Q51="",$G51,ROUND($G51*(IF($E51="","",IFERROR(INDEX(단가설정!$B$11:$B$16,MATCH($E51,단가설정!$A$11:$A$16,0)),""))/$Q51),0))))</f>
        <v/>
      </c>
      <c r="N51" s="10">
        <f>IF($A51&lt;&gt;"Y",0,IF($K51&lt;&gt;"",$K51,IF($R51="",$H51,ROUND($H51*(IF($E51="","",IFERROR(INDEX(단가설정!$C$11:$C$16,MATCH($E51,단가설정!$A$11:$A$16,0)),""))/$R51),0))))</f>
        <v/>
      </c>
      <c r="O51" s="10">
        <f>IF($A51&lt;&gt;"Y",0,IF($L51&lt;&gt;"",$L51,IF($S51="",$I51,ROUND($I51*(IF($E51="","",IFERROR(INDEX(단가설정!$D$11:$D$16,MATCH($E51,단가설정!$A$11:$A$16,0)),""))/$S51),0))))</f>
        <v/>
      </c>
      <c r="P51" s="7" t="inlineStr"/>
      <c r="Q51" s="11">
        <f>IF($E51="","",IFERROR(INDEX(단가설정!$B$11:$B$16,MATCH($E51,단가설정!$A$11:$A$16,0)),""))</f>
        <v/>
      </c>
      <c r="R51" s="11">
        <f>IF($E51="","",IFERROR(INDEX(단가설정!$C$11:$C$16,MATCH($E51,단가설정!$A$11:$A$16,0)),""))</f>
        <v/>
      </c>
      <c r="S51" s="11">
        <f>IF($E51="","",IFERROR(INDEX(단가설정!$D$11:$D$16,MATCH($E51,단가설정!$A$11:$A$16,0)),""))</f>
        <v/>
      </c>
    </row>
    <row r="52">
      <c r="A52" s="6" t="inlineStr">
        <is>
          <t>Y</t>
        </is>
      </c>
      <c r="B52" s="7" t="inlineStr">
        <is>
          <t>f) 기타</t>
        </is>
      </c>
      <c r="C52" s="7" t="inlineStr">
        <is>
          <t>기타</t>
        </is>
      </c>
      <c r="D52" s="7" t="inlineStr">
        <is>
          <t>운영 가이드 문서 + 클라이언트 교육</t>
        </is>
      </c>
      <c r="E52" s="7" t="inlineStr">
        <is>
          <t>PM</t>
        </is>
      </c>
      <c r="F52" s="8" t="inlineStr"/>
      <c r="G52" s="9" t="n">
        <v>500000</v>
      </c>
      <c r="H52" s="9" t="n">
        <v>1000000</v>
      </c>
      <c r="I52" s="9" t="n">
        <v>1500000</v>
      </c>
      <c r="J52" s="9" t="n"/>
      <c r="K52" s="9" t="n"/>
      <c r="L52" s="9" t="n"/>
      <c r="M52" s="10">
        <f>IF($A52&lt;&gt;"Y",0,IF($J52&lt;&gt;"",$J52,IF($Q52="",$G52,ROUND($G52*(IF($E52="","",IFERROR(INDEX(단가설정!$B$11:$B$16,MATCH($E52,단가설정!$A$11:$A$16,0)),""))/$Q52),0))))</f>
        <v/>
      </c>
      <c r="N52" s="10">
        <f>IF($A52&lt;&gt;"Y",0,IF($K52&lt;&gt;"",$K52,IF($R52="",$H52,ROUND($H52*(IF($E52="","",IFERROR(INDEX(단가설정!$C$11:$C$16,MATCH($E52,단가설정!$A$11:$A$16,0)),""))/$R52),0))))</f>
        <v/>
      </c>
      <c r="O52" s="10">
        <f>IF($A52&lt;&gt;"Y",0,IF($L52&lt;&gt;"",$L52,IF($S52="",$I52,ROUND($I52*(IF($E52="","",IFERROR(INDEX(단가설정!$D$11:$D$16,MATCH($E52,단가설정!$A$11:$A$16,0)),""))/$S52),0))))</f>
        <v/>
      </c>
      <c r="P52" s="7" t="inlineStr"/>
      <c r="Q52" s="11">
        <f>IF($E52="","",IFERROR(INDEX(단가설정!$B$11:$B$16,MATCH($E52,단가설정!$A$11:$A$16,0)),""))</f>
        <v/>
      </c>
      <c r="R52" s="11">
        <f>IF($E52="","",IFERROR(INDEX(단가설정!$C$11:$C$16,MATCH($E52,단가설정!$A$11:$A$16,0)),""))</f>
        <v/>
      </c>
      <c r="S52" s="11">
        <f>IF($E52="","",IFERROR(INDEX(단가설정!$D$11:$D$16,MATCH($E52,단가설정!$A$11:$A$16,0)),""))</f>
        <v/>
      </c>
    </row>
  </sheetData>
  <autoFilter ref="A3:P52"/>
  <conditionalFormatting sqref="A4:O52">
    <cfRule type="expression" priority="1" dxfId="0">
      <formula>$A4="N"</formula>
    </cfRule>
  </conditionalFormatting>
  <dataValidations count="1">
    <dataValidation sqref="A4 A5 A6 A7 A8 A9 A10 A11 A12 A13 A14 A15 A16 A17 A18 A19 A20 A21 A22 A23 A24 A25 A26 A27 A28 A29 A30 A31 A32 A33 A34 A35 A36 A37 A38 A39 A40 A41 A42 A43 A44 A45 A46 A47 A48 A49 A50 A51 A52" showDropDown="0" showInputMessage="0" showErrorMessage="0" allowBlank="0"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40" customWidth="1" min="6" max="6"/>
  </cols>
  <sheetData>
    <row r="1">
      <c r="A1" s="1" t="inlineStr">
        <is>
          <t>견적 요약</t>
        </is>
      </c>
    </row>
    <row r="3">
      <c r="A3" s="3" t="inlineStr">
        <is>
          <t>구분</t>
        </is>
      </c>
      <c r="B3" s="3" t="inlineStr">
        <is>
          <t>LOW</t>
        </is>
      </c>
      <c r="C3" s="3" t="inlineStr">
        <is>
          <t>MID</t>
        </is>
      </c>
      <c r="D3" s="3" t="inlineStr">
        <is>
          <t>HIGH</t>
        </is>
      </c>
      <c r="F3" t="inlineStr">
        <is>
          <t>사용 방법</t>
        </is>
      </c>
    </row>
    <row r="4">
      <c r="A4" s="4" t="inlineStr">
        <is>
          <t>a) 마스터 템플릿</t>
        </is>
      </c>
      <c r="B4" s="12">
        <f>SUMIFS(견적입력!$M:$M,견적입력!$B:$B,$A4)</f>
        <v/>
      </c>
      <c r="C4" s="12">
        <f>SUMIFS(견적입력!$N:$N,견적입력!$B:$B,$A4)</f>
        <v/>
      </c>
      <c r="D4" s="12">
        <f>SUMIFS(견적입력!$O:$O,견적입력!$B:$B,$A4)</f>
        <v/>
      </c>
      <c r="F4" t="inlineStr">
        <is>
          <t>1. 단가설정 시트의 LOW/MID/HIGH 단가를 수정</t>
        </is>
      </c>
    </row>
    <row r="5">
      <c r="A5" s="4" t="inlineStr">
        <is>
          <t>a-1) 브랜딩 리디자인</t>
        </is>
      </c>
      <c r="B5" s="12">
        <f>SUMIFS(견적입력!$M:$M,견적입력!$B:$B,$A5)</f>
        <v/>
      </c>
      <c r="C5" s="12">
        <f>SUMIFS(견적입력!$N:$N,견적입력!$B:$B,$A5)</f>
        <v/>
      </c>
      <c r="D5" s="12">
        <f>SUMIFS(견적입력!$O:$O,견적입력!$B:$B,$A5)</f>
        <v/>
      </c>
      <c r="F5" t="inlineStr">
        <is>
          <t>2. 견적입력 시트에서 포함(Y/N)과 금액을 조정</t>
        </is>
      </c>
    </row>
    <row r="6">
      <c r="A6" s="4" t="inlineStr">
        <is>
          <t>b) 브랜드 커스터마이징</t>
        </is>
      </c>
      <c r="B6" s="12">
        <f>SUMIFS(견적입력!$M:$M,견적입력!$B:$B,$A6)</f>
        <v/>
      </c>
      <c r="C6" s="12">
        <f>SUMIFS(견적입력!$N:$N,견적입력!$B:$B,$A6)</f>
        <v/>
      </c>
      <c r="D6" s="12">
        <f>SUMIFS(견적입력!$O:$O,견적입력!$B:$B,$A6)</f>
        <v/>
      </c>
      <c r="F6" t="inlineStr">
        <is>
          <t>3. 요약 시트에서 최종 금액 확인</t>
        </is>
      </c>
    </row>
    <row r="7">
      <c r="A7" s="4" t="inlineStr">
        <is>
          <t>c) 공통 기능</t>
        </is>
      </c>
      <c r="B7" s="12">
        <f>SUMIFS(견적입력!$M:$M,견적입력!$B:$B,$A7)</f>
        <v/>
      </c>
      <c r="C7" s="12">
        <f>SUMIFS(견적입력!$N:$N,견적입력!$B:$B,$A7)</f>
        <v/>
      </c>
      <c r="D7" s="12">
        <f>SUMIFS(견적입력!$O:$O,견적입력!$B:$B,$A7)</f>
        <v/>
      </c>
    </row>
    <row r="8">
      <c r="A8" s="4" t="inlineStr">
        <is>
          <t>d) SEO/GEO 인프라</t>
        </is>
      </c>
      <c r="B8" s="12">
        <f>SUMIFS(견적입력!$M:$M,견적입력!$B:$B,$A8)</f>
        <v/>
      </c>
      <c r="C8" s="12">
        <f>SUMIFS(견적입력!$N:$N,견적입력!$B:$B,$A8)</f>
        <v/>
      </c>
      <c r="D8" s="12">
        <f>SUMIFS(견적입력!$O:$O,견적입력!$B:$B,$A8)</f>
        <v/>
      </c>
    </row>
    <row r="9">
      <c r="A9" s="4" t="inlineStr">
        <is>
          <t>e) 에비뉴센터 별도</t>
        </is>
      </c>
      <c r="B9" s="12">
        <f>SUMIFS(견적입력!$M:$M,견적입력!$B:$B,$A9)</f>
        <v/>
      </c>
      <c r="C9" s="12">
        <f>SUMIFS(견적입력!$N:$N,견적입력!$B:$B,$A9)</f>
        <v/>
      </c>
      <c r="D9" s="12">
        <f>SUMIFS(견적입력!$O:$O,견적입력!$B:$B,$A9)</f>
        <v/>
      </c>
    </row>
    <row r="10">
      <c r="A10" s="4" t="inlineStr">
        <is>
          <t>f) 기타</t>
        </is>
      </c>
      <c r="B10" s="12">
        <f>SUMIFS(견적입력!$M:$M,견적입력!$B:$B,$A10)</f>
        <v/>
      </c>
      <c r="C10" s="12">
        <f>SUMIFS(견적입력!$N:$N,견적입력!$B:$B,$A10)</f>
        <v/>
      </c>
      <c r="D10" s="12">
        <f>SUMIFS(견적입력!$O:$O,견적입력!$B:$B,$A10)</f>
        <v/>
      </c>
    </row>
    <row r="11">
      <c r="A11" s="13" t="inlineStr">
        <is>
          <t>합계 (VAT 별도)</t>
        </is>
      </c>
      <c r="B11" s="14">
        <f>SUM(B4:B10)</f>
        <v/>
      </c>
      <c r="C11" s="14">
        <f>SUM(C4:C10)</f>
        <v/>
      </c>
      <c r="D11" s="14">
        <f>SUM(D4:D10)</f>
        <v/>
      </c>
    </row>
    <row r="12">
      <c r="A12" s="4" t="inlineStr">
        <is>
          <t>VAT</t>
        </is>
      </c>
      <c r="B12" s="12">
        <f>B11*단가설정!$B$8</f>
        <v/>
      </c>
      <c r="C12" s="12">
        <f>C11*단가설정!$B$8</f>
        <v/>
      </c>
      <c r="D12" s="12">
        <f>D11*단가설정!$B$8</f>
        <v/>
      </c>
    </row>
    <row r="13">
      <c r="A13" s="13" t="inlineStr">
        <is>
          <t>VAT 포함</t>
        </is>
      </c>
      <c r="B13" s="14">
        <f>B11+B12</f>
        <v/>
      </c>
      <c r="C13" s="14">
        <f>C11+C12</f>
        <v/>
      </c>
      <c r="D13" s="14">
        <f>D11+D12</f>
        <v/>
      </c>
    </row>
    <row r="15">
      <c r="A15" s="4" t="inlineStr">
        <is>
          <t>선택 항목 수</t>
        </is>
      </c>
      <c r="B15" s="4">
        <f>COUNTIF(견적입력!$A:$A,"Y")</f>
        <v/>
      </c>
      <c r="C15" s="4" t="n"/>
      <c r="D15" s="4" t="n"/>
    </row>
    <row r="16">
      <c r="A16" s="4" t="inlineStr">
        <is>
          <t>제외 항목 수</t>
        </is>
      </c>
      <c r="B16" s="4">
        <f>COUNTIF(견적입력!$A:$A,"N")</f>
        <v/>
      </c>
      <c r="C16" s="4" t="n"/>
      <c r="D1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2026-03-26T05:52:09Z</dcterms:created>
  <dcterms:modified xsi:type="dcterms:W3CDTF">2026-03-26T05:52:09Z</dcterms:modified>
</cp:coreProperties>
</file>